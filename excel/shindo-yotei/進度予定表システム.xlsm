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3.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4.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Y:\claude code作業フォルダ\鳴海中用\"/>
    </mc:Choice>
  </mc:AlternateContent>
  <xr:revisionPtr revIDLastSave="0" documentId="13_ncr:1_{74B1F245-C07D-462C-8EE1-BF5412B75949}" xr6:coauthVersionLast="47" xr6:coauthVersionMax="47" xr10:uidLastSave="{00000000-0000-0000-0000-000000000000}"/>
  <bookViews>
    <workbookView xWindow="-110" yWindow="-110" windowWidth="19310" windowHeight="19570" activeTab="5" xr2:uid="{00000000-000D-0000-FFFF-FFFF00000000}"/>
  </bookViews>
  <sheets>
    <sheet name="基本設定" sheetId="1" r:id="rId1"/>
    <sheet name="時間割マスター" sheetId="2" r:id="rId2"/>
    <sheet name="週案_テンプレート" sheetId="3" r:id="rId3"/>
    <sheet name="第01週" sheetId="4" r:id="rId4"/>
    <sheet name="第02週" sheetId="5" r:id="rId5"/>
    <sheet name="第03週" sheetId="6" r:id="rId6"/>
  </sheets>
  <definedNames>
    <definedName name="_xlnm.Print_Area" localSheetId="2">週案_テンプレート!$A$1:$P$25</definedName>
    <definedName name="_xlnm.Print_Area" localSheetId="3">第01週!$A$1:$P$25</definedName>
    <definedName name="_xlnm.Print_Area" localSheetId="4">第02週!$A$1:$P$25</definedName>
    <definedName name="_xlnm.Print_Area" localSheetId="5">第03週!$A$1:$P$25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25" i="6" l="1"/>
  <c r="O24" i="6"/>
  <c r="O23" i="6" s="1"/>
  <c r="N24" i="6"/>
  <c r="N23" i="6" s="1"/>
  <c r="M24" i="6"/>
  <c r="M23" i="6" s="1"/>
  <c r="E24" i="6"/>
  <c r="E23" i="6" s="1"/>
  <c r="D24" i="6"/>
  <c r="D23" i="6" s="1"/>
  <c r="C24" i="6"/>
  <c r="C23" i="6" s="1"/>
  <c r="B24" i="6"/>
  <c r="O22" i="6"/>
  <c r="N22" i="6"/>
  <c r="E22" i="6"/>
  <c r="D22" i="6"/>
  <c r="C22" i="6"/>
  <c r="B22" i="6"/>
  <c r="G21" i="6"/>
  <c r="G24" i="6" s="1"/>
  <c r="G23" i="6" s="1"/>
  <c r="F21" i="6"/>
  <c r="E21" i="6"/>
  <c r="D21" i="6"/>
  <c r="C21" i="6"/>
  <c r="B21" i="6"/>
  <c r="P25" i="5"/>
  <c r="O24" i="5"/>
  <c r="O23" i="5" s="1"/>
  <c r="N24" i="5"/>
  <c r="N23" i="5" s="1"/>
  <c r="M24" i="5"/>
  <c r="M23" i="5" s="1"/>
  <c r="D24" i="5"/>
  <c r="D23" i="5" s="1"/>
  <c r="O22" i="5"/>
  <c r="N22" i="5"/>
  <c r="G22" i="5"/>
  <c r="D22" i="5"/>
  <c r="C22" i="5"/>
  <c r="G21" i="5"/>
  <c r="G24" i="5" s="1"/>
  <c r="G23" i="5" s="1"/>
  <c r="F21" i="5"/>
  <c r="F22" i="5" s="1"/>
  <c r="E21" i="5"/>
  <c r="D21" i="5"/>
  <c r="C21" i="5"/>
  <c r="C24" i="5" s="1"/>
  <c r="C23" i="5" s="1"/>
  <c r="B21" i="5"/>
  <c r="B22" i="5" s="1"/>
  <c r="F22" i="6" l="1"/>
  <c r="P22" i="6" s="1"/>
  <c r="G22" i="6"/>
  <c r="F24" i="6"/>
  <c r="P24" i="6" s="1"/>
  <c r="B23" i="6"/>
  <c r="E22" i="5"/>
  <c r="P22" i="5" s="1"/>
  <c r="B24" i="5"/>
  <c r="E24" i="5"/>
  <c r="E23" i="5" s="1"/>
  <c r="F24" i="5"/>
  <c r="F23" i="5" s="1"/>
  <c r="F23" i="6" l="1"/>
  <c r="P23" i="6" s="1"/>
  <c r="P24" i="5"/>
  <c r="B23" i="5"/>
  <c r="P23" i="5" s="1"/>
  <c r="P25" i="4"/>
  <c r="O24" i="4"/>
  <c r="O23" i="4" s="1"/>
  <c r="N24" i="4"/>
  <c r="N23" i="4" s="1"/>
  <c r="M24" i="4"/>
  <c r="M23" i="4" s="1"/>
  <c r="D24" i="4"/>
  <c r="D23" i="4" s="1"/>
  <c r="O22" i="4"/>
  <c r="N22" i="4"/>
  <c r="G22" i="4"/>
  <c r="D22" i="4"/>
  <c r="C22" i="4"/>
  <c r="G21" i="4"/>
  <c r="G24" i="4" s="1"/>
  <c r="G23" i="4" s="1"/>
  <c r="F21" i="4"/>
  <c r="F22" i="4" s="1"/>
  <c r="E21" i="4"/>
  <c r="D21" i="4"/>
  <c r="C21" i="4"/>
  <c r="C24" i="4" s="1"/>
  <c r="C23" i="4" s="1"/>
  <c r="B21" i="4"/>
  <c r="B22" i="4" s="1"/>
  <c r="P25" i="3"/>
  <c r="P24" i="3"/>
  <c r="P23" i="3"/>
  <c r="P22" i="3"/>
  <c r="O22" i="3"/>
  <c r="O23" i="3"/>
  <c r="O24" i="3"/>
  <c r="N22" i="3"/>
  <c r="N23" i="3"/>
  <c r="N24" i="3"/>
  <c r="M23" i="3"/>
  <c r="M24" i="3"/>
  <c r="G23" i="3"/>
  <c r="G24" i="3"/>
  <c r="F23" i="3"/>
  <c r="F24" i="3"/>
  <c r="E23" i="3"/>
  <c r="E24" i="3"/>
  <c r="D23" i="3"/>
  <c r="D24" i="3"/>
  <c r="C23" i="3"/>
  <c r="C24" i="3"/>
  <c r="B23" i="3"/>
  <c r="B24" i="3"/>
  <c r="G22" i="3"/>
  <c r="F22" i="3"/>
  <c r="E22" i="3"/>
  <c r="D22" i="3"/>
  <c r="C22" i="3"/>
  <c r="B22" i="3"/>
  <c r="G21" i="3"/>
  <c r="F21" i="3"/>
  <c r="E21" i="3"/>
  <c r="D21" i="3"/>
  <c r="C21" i="3"/>
  <c r="B21" i="3"/>
  <c r="A35" i="1"/>
  <c r="A34" i="1"/>
  <c r="A33" i="1"/>
  <c r="A32" i="1"/>
  <c r="A31" i="1"/>
  <c r="A30" i="1"/>
  <c r="A29" i="1"/>
  <c r="A28" i="1"/>
  <c r="A27" i="1"/>
  <c r="A26" i="1"/>
  <c r="A25" i="1"/>
  <c r="A24" i="1"/>
  <c r="A23" i="1"/>
  <c r="E24" i="4" l="1"/>
  <c r="E23" i="4" s="1"/>
  <c r="E22" i="4"/>
  <c r="P22" i="4" s="1"/>
  <c r="B24" i="4"/>
  <c r="F24" i="4"/>
  <c r="F23" i="4" s="1"/>
  <c r="P24" i="4" l="1"/>
  <c r="B23" i="4"/>
  <c r="P23" i="4" s="1"/>
</calcChain>
</file>

<file path=xl/sharedStrings.xml><?xml version="1.0" encoding="utf-8"?>
<sst xmlns="http://schemas.openxmlformats.org/spreadsheetml/2006/main" count="331" uniqueCount="137">
  <si>
    <t>設定項目</t>
  </si>
  <si>
    <t>入力値</t>
  </si>
  <si>
    <t>説明</t>
  </si>
  <si>
    <t>年度（西暦）</t>
  </si>
  <si>
    <t>2026</t>
  </si>
  <si>
    <t>例：2026</t>
  </si>
  <si>
    <t>担当教科</t>
  </si>
  <si>
    <t>理科</t>
  </si>
  <si>
    <t>授業集計のメイン科目</t>
  </si>
  <si>
    <t>【担当クラス】</t>
  </si>
  <si>
    <t>クラス①</t>
  </si>
  <si>
    <t>クラス②</t>
  </si>
  <si>
    <t>クラス③</t>
  </si>
  <si>
    <t>クラス④</t>
  </si>
  <si>
    <t>クラス⑤</t>
  </si>
  <si>
    <t>クラス⑥</t>
  </si>
  <si>
    <t>クラス⑦</t>
  </si>
  <si>
    <t>クラス⑧</t>
  </si>
  <si>
    <t>【特別活動等】</t>
  </si>
  <si>
    <t>特別活動①</t>
  </si>
  <si>
    <t>特活</t>
  </si>
  <si>
    <t>集計では学活と合算されます</t>
  </si>
  <si>
    <t>特別活動②</t>
  </si>
  <si>
    <t>学活</t>
  </si>
  <si>
    <t>特別活動③</t>
  </si>
  <si>
    <t>道徳</t>
  </si>
  <si>
    <t>特別活動④</t>
  </si>
  <si>
    <t>総合</t>
  </si>
  <si>
    <t>特別活動⑤</t>
  </si>
  <si>
    <t>【週コマ数マスター】</t>
  </si>
  <si>
    <t>集計表の「週コマ数」欄に反映</t>
  </si>
  <si>
    <t>空欄＝集計しない</t>
  </si>
  <si>
    <t>2-1</t>
    <phoneticPr fontId="5"/>
  </si>
  <si>
    <t>2-4</t>
    <phoneticPr fontId="5"/>
  </si>
  <si>
    <t>3-5</t>
    <phoneticPr fontId="5"/>
  </si>
  <si>
    <t>2-2数t</t>
    <rPh sb="3" eb="4">
      <t>スウ</t>
    </rPh>
    <phoneticPr fontId="5"/>
  </si>
  <si>
    <t>2-3数t</t>
    <phoneticPr fontId="5"/>
  </si>
  <si>
    <t>2-5数t</t>
    <phoneticPr fontId="5"/>
  </si>
  <si>
    <t>時間割マスター　※プルダウンからクラスを選択</t>
  </si>
  <si>
    <t>校時</t>
  </si>
  <si>
    <t>月</t>
  </si>
  <si>
    <t>火</t>
  </si>
  <si>
    <t>水</t>
  </si>
  <si>
    <t>木</t>
  </si>
  <si>
    <t>金</t>
  </si>
  <si>
    <t>2026年度　第　　週（　　月　　日?　　月　　日）　進度予定表</t>
  </si>
  <si>
    <t>決裁</t>
  </si>
  <si>
    <t>校長</t>
  </si>
  <si>
    <t>教頭</t>
  </si>
  <si>
    <t>主幹</t>
  </si>
  <si>
    <t>教務</t>
  </si>
  <si>
    <t>時</t>
  </si>
  <si>
    <t>　/　（月）</t>
  </si>
  <si>
    <t>　/　（火）</t>
  </si>
  <si>
    <t>　/　（水）</t>
  </si>
  <si>
    <t>　/　（木）</t>
  </si>
  <si>
    <t>　/　（金）</t>
  </si>
  <si>
    <t>予定</t>
  </si>
  <si>
    <t>授業後</t>
  </si>
  <si>
    <t>授業</t>
  </si>
  <si>
    <t>計</t>
  </si>
  <si>
    <t>週コマ数</t>
  </si>
  <si>
    <t>実施/予定</t>
  </si>
  <si>
    <t>累　計</t>
  </si>
  <si>
    <t>特活(学活含む)</t>
  </si>
  <si>
    <t>2026年度  第01週(4/6~)  進度予定表</t>
    <phoneticPr fontId="5"/>
  </si>
  <si>
    <t>4/6(月)</t>
    <phoneticPr fontId="5"/>
  </si>
  <si>
    <t>4/7(火)</t>
    <phoneticPr fontId="5"/>
  </si>
  <si>
    <t>4/8(水)</t>
    <phoneticPr fontId="5"/>
  </si>
  <si>
    <t>4/9(木)</t>
    <phoneticPr fontId="5"/>
  </si>
  <si>
    <t>4/10(金)</t>
    <phoneticPr fontId="5"/>
  </si>
  <si>
    <t/>
  </si>
  <si>
    <t>着任式</t>
    <rPh sb="0" eb="2">
      <t>チャクニン</t>
    </rPh>
    <rPh sb="2" eb="3">
      <t>シキ</t>
    </rPh>
    <phoneticPr fontId="5"/>
  </si>
  <si>
    <t>始業式</t>
    <rPh sb="0" eb="2">
      <t>シギョウ</t>
    </rPh>
    <rPh sb="2" eb="3">
      <t>シキ</t>
    </rPh>
    <phoneticPr fontId="5"/>
  </si>
  <si>
    <t>プリント配付
学級レク</t>
    <rPh sb="4" eb="6">
      <t>ハイフ</t>
    </rPh>
    <rPh sb="7" eb="9">
      <t>ガッキュウ</t>
    </rPh>
    <phoneticPr fontId="5"/>
  </si>
  <si>
    <t>着任式・始業式</t>
    <rPh sb="0" eb="2">
      <t>チャクニン</t>
    </rPh>
    <rPh sb="2" eb="3">
      <t>シキ</t>
    </rPh>
    <rPh sb="4" eb="6">
      <t>シギョウ</t>
    </rPh>
    <rPh sb="6" eb="7">
      <t>シキ</t>
    </rPh>
    <phoneticPr fontId="5"/>
  </si>
  <si>
    <t>入学式</t>
    <rPh sb="0" eb="3">
      <t>ニュウガクシキ</t>
    </rPh>
    <phoneticPr fontId="5"/>
  </si>
  <si>
    <t>講師着任式
対面式</t>
    <rPh sb="0" eb="2">
      <t>コウシ</t>
    </rPh>
    <rPh sb="2" eb="4">
      <t>チャクニン</t>
    </rPh>
    <rPh sb="4" eb="5">
      <t>シキ</t>
    </rPh>
    <rPh sb="6" eb="9">
      <t>タイメンシキ</t>
    </rPh>
    <phoneticPr fontId="5"/>
  </si>
  <si>
    <t>学年集会</t>
    <rPh sb="0" eb="2">
      <t>ガクネン</t>
    </rPh>
    <rPh sb="2" eb="4">
      <t>シュウカイ</t>
    </rPh>
    <phoneticPr fontId="5"/>
  </si>
  <si>
    <t>学級レク続き</t>
    <rPh sb="0" eb="2">
      <t>ガッキュウ</t>
    </rPh>
    <rPh sb="4" eb="5">
      <t>ツヅ</t>
    </rPh>
    <phoneticPr fontId="5"/>
  </si>
  <si>
    <t>生徒会説明会</t>
    <rPh sb="0" eb="3">
      <t>セイトカイ</t>
    </rPh>
    <rPh sb="3" eb="6">
      <t>セツメイカイ</t>
    </rPh>
    <phoneticPr fontId="5"/>
  </si>
  <si>
    <t>学級組織①</t>
    <rPh sb="0" eb="2">
      <t>ガッキュウ</t>
    </rPh>
    <rPh sb="2" eb="4">
      <t>ソシキ</t>
    </rPh>
    <phoneticPr fontId="5"/>
  </si>
  <si>
    <t>自己紹介ビンゴ</t>
    <rPh sb="0" eb="2">
      <t>ジコ</t>
    </rPh>
    <rPh sb="2" eb="4">
      <t>ショウカイ</t>
    </rPh>
    <phoneticPr fontId="5"/>
  </si>
  <si>
    <t>学級写真</t>
    <rPh sb="0" eb="2">
      <t>ガッキュウ</t>
    </rPh>
    <rPh sb="2" eb="4">
      <t>シャシン</t>
    </rPh>
    <phoneticPr fontId="5"/>
  </si>
  <si>
    <t>自己紹介カード
作文「２年生になって」</t>
    <rPh sb="0" eb="2">
      <t>ジコ</t>
    </rPh>
    <rPh sb="2" eb="4">
      <t>ショウカイ</t>
    </rPh>
    <rPh sb="8" eb="10">
      <t>サクブン</t>
    </rPh>
    <rPh sb="12" eb="14">
      <t>ネンセイ</t>
    </rPh>
    <phoneticPr fontId="5"/>
  </si>
  <si>
    <t>作文「２年生になって」続き
学級目標決め①</t>
    <rPh sb="0" eb="2">
      <t>サクブン</t>
    </rPh>
    <rPh sb="4" eb="6">
      <t>ネンセイ</t>
    </rPh>
    <rPh sb="11" eb="12">
      <t>ツヅ</t>
    </rPh>
    <rPh sb="14" eb="16">
      <t>ガッキュウ</t>
    </rPh>
    <rPh sb="16" eb="18">
      <t>モクヒョウ</t>
    </rPh>
    <rPh sb="18" eb="19">
      <t>キ</t>
    </rPh>
    <phoneticPr fontId="5"/>
  </si>
  <si>
    <t>学級レク</t>
    <rPh sb="0" eb="2">
      <t>ガッキュウ</t>
    </rPh>
    <phoneticPr fontId="5"/>
  </si>
  <si>
    <t>生活班役割分担</t>
    <rPh sb="0" eb="2">
      <t>セイカツ</t>
    </rPh>
    <rPh sb="2" eb="3">
      <t>ハン</t>
    </rPh>
    <rPh sb="3" eb="5">
      <t>ヤクワリ</t>
    </rPh>
    <rPh sb="5" eb="7">
      <t>ブンタン</t>
    </rPh>
    <phoneticPr fontId="5"/>
  </si>
  <si>
    <t>2026年度  第02週(4/13~)  進度予定表</t>
    <phoneticPr fontId="5"/>
  </si>
  <si>
    <t>4/13(月)</t>
    <phoneticPr fontId="5"/>
  </si>
  <si>
    <t>4/14(火)</t>
    <phoneticPr fontId="5"/>
  </si>
  <si>
    <t>4/15(水)</t>
    <phoneticPr fontId="5"/>
  </si>
  <si>
    <t>4/16(木)</t>
    <phoneticPr fontId="5"/>
  </si>
  <si>
    <t>4/17(金)</t>
    <phoneticPr fontId="5"/>
  </si>
  <si>
    <t>認証式</t>
    <rPh sb="0" eb="3">
      <t>ニンショウシキ</t>
    </rPh>
    <phoneticPr fontId="5"/>
  </si>
  <si>
    <t>学級目標決め①</t>
    <rPh sb="0" eb="5">
      <t>ガッキュウモクヒョウギ</t>
    </rPh>
    <phoneticPr fontId="5"/>
  </si>
  <si>
    <t>視力検査</t>
    <rPh sb="0" eb="4">
      <t>シリョクケンサ</t>
    </rPh>
    <phoneticPr fontId="5"/>
  </si>
  <si>
    <t>身体測定</t>
    <rPh sb="0" eb="4">
      <t>シンタイソクテイ</t>
    </rPh>
    <phoneticPr fontId="5"/>
  </si>
  <si>
    <t>学級目標決め②</t>
    <rPh sb="0" eb="5">
      <t>ガッキュウモクヒョウギ</t>
    </rPh>
    <phoneticPr fontId="5"/>
  </si>
  <si>
    <t>3-5</t>
  </si>
  <si>
    <t>2-1</t>
  </si>
  <si>
    <t>理科の授業オリエンテーション</t>
    <rPh sb="0" eb="2">
      <t>リカ</t>
    </rPh>
    <rPh sb="3" eb="5">
      <t>ジュギョウ</t>
    </rPh>
    <phoneticPr fontId="5"/>
  </si>
  <si>
    <t>書類分合</t>
    <rPh sb="0" eb="2">
      <t>ショルイ</t>
    </rPh>
    <rPh sb="2" eb="4">
      <t>ブンゴウ</t>
    </rPh>
    <phoneticPr fontId="5"/>
  </si>
  <si>
    <t>稲武野外学習オリエンテーション</t>
    <rPh sb="0" eb="2">
      <t>イナブ</t>
    </rPh>
    <rPh sb="2" eb="6">
      <t>ヤガイガクシュウ</t>
    </rPh>
    <phoneticPr fontId="5"/>
  </si>
  <si>
    <t>2-4</t>
  </si>
  <si>
    <t>2-5数t</t>
  </si>
  <si>
    <t>15:10生徒議会</t>
    <rPh sb="5" eb="9">
      <t>セイトギカイ</t>
    </rPh>
    <phoneticPr fontId="5"/>
  </si>
  <si>
    <t>15:10生徒委員会</t>
    <rPh sb="5" eb="10">
      <t>セイトイインカイ</t>
    </rPh>
    <phoneticPr fontId="5"/>
  </si>
  <si>
    <t>無性生殖</t>
    <rPh sb="0" eb="2">
      <t>ムセイ</t>
    </rPh>
    <rPh sb="2" eb="4">
      <t>セイショク</t>
    </rPh>
    <phoneticPr fontId="5"/>
  </si>
  <si>
    <t>化学実験に使う主な実験器具</t>
    <rPh sb="0" eb="4">
      <t>カガクジッケン</t>
    </rPh>
    <rPh sb="5" eb="6">
      <t>ツカ</t>
    </rPh>
    <rPh sb="7" eb="8">
      <t>オモ</t>
    </rPh>
    <rPh sb="9" eb="13">
      <t>ジッケンキグ</t>
    </rPh>
    <phoneticPr fontId="5"/>
  </si>
  <si>
    <t>物質を加熱したときの変化</t>
    <rPh sb="0" eb="2">
      <t>ブッシツ</t>
    </rPh>
    <rPh sb="3" eb="5">
      <t>カネツ</t>
    </rPh>
    <rPh sb="10" eb="12">
      <t>ヘンカ</t>
    </rPh>
    <phoneticPr fontId="5"/>
  </si>
  <si>
    <t>動物の有性生殖</t>
    <rPh sb="0" eb="2">
      <t>ドウブツ</t>
    </rPh>
    <rPh sb="3" eb="7">
      <t>ユウセイセイショク</t>
    </rPh>
    <phoneticPr fontId="5"/>
  </si>
  <si>
    <t>植物の有性生殖</t>
    <rPh sb="0" eb="2">
      <t>ショクブツ</t>
    </rPh>
    <rPh sb="3" eb="7">
      <t>ユウセイセイショク</t>
    </rPh>
    <phoneticPr fontId="5"/>
  </si>
  <si>
    <t>キャリアパスポート</t>
    <phoneticPr fontId="5"/>
  </si>
  <si>
    <t>2026年度  第03週(4/20~)  進度予定表</t>
    <phoneticPr fontId="5"/>
  </si>
  <si>
    <t>4/20(月)</t>
    <phoneticPr fontId="5"/>
  </si>
  <si>
    <t>4/21(火)</t>
    <phoneticPr fontId="5"/>
  </si>
  <si>
    <t>4/22(水)</t>
    <phoneticPr fontId="5"/>
  </si>
  <si>
    <t>4/23(木)</t>
    <phoneticPr fontId="5"/>
  </si>
  <si>
    <t>4/24(金)</t>
    <phoneticPr fontId="5"/>
  </si>
  <si>
    <t>2-3数t</t>
  </si>
  <si>
    <t>2-2数t</t>
    <phoneticPr fontId="5"/>
  </si>
  <si>
    <t>全国学調(読むこと・書くこと)</t>
    <rPh sb="0" eb="2">
      <t>ゼンコク</t>
    </rPh>
    <rPh sb="2" eb="4">
      <t>ガクチョウ</t>
    </rPh>
    <rPh sb="5" eb="6">
      <t>ヨ</t>
    </rPh>
    <rPh sb="10" eb="11">
      <t>カ</t>
    </rPh>
    <phoneticPr fontId="5"/>
  </si>
  <si>
    <t>全国学調(国語)</t>
    <rPh sb="0" eb="2">
      <t>ゼンコク</t>
    </rPh>
    <rPh sb="2" eb="4">
      <t>ガクチョウ</t>
    </rPh>
    <rPh sb="5" eb="7">
      <t>コクゴ</t>
    </rPh>
    <phoneticPr fontId="5"/>
  </si>
  <si>
    <t>(3-5)</t>
    <phoneticPr fontId="5"/>
  </si>
  <si>
    <t>炭酸水素ナトリウムを加熱したときの変化①</t>
    <rPh sb="0" eb="4">
      <t>タンサンスイソ</t>
    </rPh>
    <rPh sb="10" eb="12">
      <t>カネツ</t>
    </rPh>
    <rPh sb="17" eb="19">
      <t>ヘンカ</t>
    </rPh>
    <phoneticPr fontId="5"/>
  </si>
  <si>
    <t>炭酸水素ナトリウムを加熱したときの変化②</t>
    <rPh sb="0" eb="4">
      <t>タンサンスイソ</t>
    </rPh>
    <rPh sb="10" eb="12">
      <t>カネツ</t>
    </rPh>
    <rPh sb="17" eb="19">
      <t>ヘンカ</t>
    </rPh>
    <phoneticPr fontId="5"/>
  </si>
  <si>
    <t>ローテーション①
2-1「SNSとどう付き合う？」</t>
    <rPh sb="19" eb="20">
      <t>ツ</t>
    </rPh>
    <rPh sb="21" eb="22">
      <t>ア</t>
    </rPh>
    <phoneticPr fontId="5"/>
  </si>
  <si>
    <t>避難訓練</t>
    <rPh sb="0" eb="4">
      <t>ヒナンクンレン</t>
    </rPh>
    <phoneticPr fontId="5"/>
  </si>
  <si>
    <t>細胞のふえ方①</t>
    <rPh sb="0" eb="2">
      <t>サイボウ</t>
    </rPh>
    <rPh sb="5" eb="6">
      <t>カタ</t>
    </rPh>
    <phoneticPr fontId="5"/>
  </si>
  <si>
    <t>【授業参観】
カルメ焼きを作ろう</t>
    <rPh sb="10" eb="11">
      <t>ヤ</t>
    </rPh>
    <rPh sb="13" eb="14">
      <t>ツク</t>
    </rPh>
    <phoneticPr fontId="5"/>
  </si>
  <si>
    <t>学級懇談会</t>
    <rPh sb="0" eb="5">
      <t>ガッキュウコンダンカイ</t>
    </rPh>
    <phoneticPr fontId="5"/>
  </si>
  <si>
    <t>炭酸水素ナトリウムを加熱したときの変化③</t>
    <rPh sb="0" eb="4">
      <t>タンサンスイソ</t>
    </rPh>
    <rPh sb="10" eb="12">
      <t>カネツ</t>
    </rPh>
    <rPh sb="17" eb="19">
      <t>ヘンカ</t>
    </rPh>
    <phoneticPr fontId="5"/>
  </si>
  <si>
    <t>カルメ焼きを作ろう</t>
    <rPh sb="3" eb="4">
      <t>ヤ</t>
    </rPh>
    <rPh sb="6" eb="7">
      <t>ツク</t>
    </rPh>
    <phoneticPr fontId="5"/>
  </si>
  <si>
    <t>実験１のまとめ</t>
    <rPh sb="0" eb="2">
      <t>ジッケン</t>
    </rPh>
    <phoneticPr fontId="5"/>
  </si>
  <si>
    <t>稲武実行委員①</t>
    <rPh sb="0" eb="6">
      <t>イナブジッコウイイン</t>
    </rPh>
    <phoneticPr fontId="5"/>
  </si>
  <si>
    <t>テスト</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</si>
</sst>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0" x14ac:knownFonts="1">
    <font>
      <sz val="11"/>
      <color theme="1"/>
      <name val="ＭＳ Ｐゴシック"/>
      <family val="2"/>
      <scheme val="minor"/>
    </font>
    <font>
      <b/>
      <sz val="10"/>
      <color rgb="FFFFFFFF"/>
      <name val="メイリオ"/>
      <family val="3"/>
      <charset val="128"/>
    </font>
    <font>
      <b/>
      <sz val="10"/>
      <color rgb="FF1F3864"/>
      <name val="メイリオ"/>
      <family val="3"/>
      <charset val="128"/>
    </font>
    <font>
      <sz val="9"/>
      <color rgb="FF888888"/>
      <name val="メイリオ"/>
      <family val="3"/>
      <charset val="128"/>
    </font>
    <font>
      <sz val="10"/>
      <color rgb="FF000000"/>
      <name val="メイリオ"/>
      <family val="3"/>
      <charset val="128"/>
    </font>
    <font>
      <sz val="6"/>
      <name val="ＭＳ Ｐゴシック"/>
      <family val="3"/>
      <charset val="128"/>
      <scheme val="minor"/>
    </font>
    <font>
      <sz val="9"/>
      <color rgb="FF000000"/>
      <name val="メイリオ"/>
      <family val="3"/>
      <charset val="128"/>
    </font>
    <font>
      <b/>
      <sz val="9"/>
      <color rgb="FFFFFFFF"/>
      <name val="メイリオ"/>
      <family val="3"/>
      <charset val="128"/>
    </font>
    <font>
      <b/>
      <sz val="10"/>
      <color rgb="FF1A237E"/>
      <name val="メイリオ"/>
      <family val="3"/>
      <charset val="128"/>
    </font>
    <font>
      <b/>
      <sz val="11"/>
      <color rgb="FFFFFFFF"/>
      <name val="メイリオ"/>
      <family val="3"/>
      <charset val="128"/>
    </font>
    <font>
      <b/>
      <sz val="7"/>
      <color rgb="FF646464"/>
      <name val="メイリオ"/>
      <family val="3"/>
      <charset val="128"/>
    </font>
    <font>
      <sz val="7"/>
      <color rgb="FF646464"/>
      <name val="メイリオ"/>
      <family val="3"/>
      <charset val="128"/>
    </font>
    <font>
      <b/>
      <sz val="11"/>
      <color rgb="FF000000"/>
      <name val="メイリオ"/>
      <family val="3"/>
      <charset val="128"/>
    </font>
    <font>
      <sz val="8"/>
      <color theme="1"/>
      <name val="メイリオ"/>
      <family val="3"/>
      <charset val="128"/>
    </font>
    <font>
      <sz val="8"/>
      <color rgb="FF555555"/>
      <name val="メイリオ"/>
      <family val="3"/>
      <charset val="128"/>
    </font>
    <font>
      <b/>
      <sz val="7"/>
      <color rgb="FFFFFFFF"/>
      <name val="メイリオ"/>
      <family val="3"/>
      <charset val="128"/>
    </font>
    <font>
      <b/>
      <sz val="12"/>
      <color rgb="FFFFFFFF"/>
      <name val="メイリオ"/>
      <family val="3"/>
      <charset val="128"/>
    </font>
    <font>
      <b/>
      <sz val="9"/>
      <color rgb="FF1A237E"/>
      <name val="メイリオ"/>
      <family val="3"/>
      <charset val="128"/>
    </font>
    <font>
      <sz val="7"/>
      <color rgb="FF555555"/>
      <name val="メイリオ"/>
      <family val="3"/>
      <charset val="128"/>
    </font>
    <font>
      <sz val="8"/>
      <color rgb="FF212121"/>
      <name val="メイリオ"/>
      <family val="3"/>
      <charset val="128"/>
    </font>
    <font>
      <b/>
      <sz val="8"/>
      <color rgb="FFFFFFFF"/>
      <name val="メイリオ"/>
      <family val="3"/>
      <charset val="128"/>
    </font>
    <font>
      <sz val="7"/>
      <color rgb="FF1A237E"/>
      <name val="メイリオ"/>
      <family val="3"/>
      <charset val="128"/>
    </font>
    <font>
      <sz val="9"/>
      <color theme="1"/>
      <name val="メイリオ"/>
      <family val="3"/>
      <charset val="128"/>
    </font>
    <font>
      <b/>
      <sz val="11"/>
      <color rgb="FFBF360C"/>
      <name val="メイリオ"/>
      <family val="3"/>
      <charset val="128"/>
    </font>
    <font>
      <sz val="7"/>
      <color rgb="FF000000"/>
      <name val="メイリオ"/>
      <family val="3"/>
      <charset val="128"/>
    </font>
    <font>
      <sz val="9"/>
      <color rgb="FF795500"/>
      <name val="メイリオ"/>
      <family val="3"/>
      <charset val="128"/>
    </font>
    <font>
      <b/>
      <sz val="9"/>
      <color rgb="FF1B5E20"/>
      <name val="メイリオ"/>
      <family val="3"/>
      <charset val="128"/>
    </font>
    <font>
      <b/>
      <sz val="7"/>
      <color rgb="FF880E4F"/>
      <name val="メイリオ"/>
      <family val="3"/>
      <charset val="128"/>
    </font>
    <font>
      <b/>
      <sz val="9"/>
      <color rgb="FF880E4F"/>
      <name val="メイリオ"/>
      <family val="3"/>
      <charset val="128"/>
    </font>
    <font>
      <sz val="9"/>
      <color rgb="FF1A237E"/>
      <name val="メイリオ"/>
      <family val="3"/>
      <charset val="128"/>
    </font>
  </fonts>
  <fills count="25">
    <fill>
      <patternFill patternType="none"/>
    </fill>
    <fill>
      <patternFill patternType="gray125"/>
    </fill>
    <fill>
      <patternFill patternType="solid">
        <fgColor rgb="FF2F5597"/>
      </patternFill>
    </fill>
    <fill>
      <patternFill patternType="solid">
        <fgColor rgb="FFD6E4F0"/>
      </patternFill>
    </fill>
    <fill>
      <patternFill patternType="solid">
        <fgColor rgb="FFF2F7FB"/>
      </patternFill>
    </fill>
    <fill>
      <patternFill patternType="solid">
        <fgColor rgb="FF1E8449"/>
        <bgColor indexed="64"/>
      </patternFill>
    </fill>
    <fill>
      <patternFill patternType="solid">
        <fgColor rgb="FF2E86AB"/>
        <bgColor indexed="64"/>
      </patternFill>
    </fill>
    <fill>
      <patternFill patternType="solid">
        <fgColor rgb="FFEBF5FB"/>
        <bgColor indexed="64"/>
      </patternFill>
    </fill>
    <fill>
      <patternFill patternType="solid">
        <fgColor rgb="FF2F5597"/>
        <bgColor indexed="64"/>
      </patternFill>
    </fill>
    <fill>
      <patternFill patternType="solid">
        <fgColor rgb="FF546E7A"/>
        <bgColor indexed="64"/>
      </patternFill>
    </fill>
    <fill>
      <patternFill patternType="solid">
        <fgColor rgb="FFDBEAFE"/>
        <bgColor indexed="64"/>
      </patternFill>
    </fill>
    <fill>
      <patternFill patternType="solid">
        <fgColor rgb="FFFEF9C3"/>
        <bgColor indexed="64"/>
      </patternFill>
    </fill>
    <fill>
      <patternFill patternType="solid">
        <fgColor rgb="FFDCFCE7"/>
        <bgColor indexed="64"/>
      </patternFill>
    </fill>
    <fill>
      <patternFill patternType="solid">
        <fgColor rgb="FFFFE4E6"/>
        <bgColor indexed="64"/>
      </patternFill>
    </fill>
    <fill>
      <patternFill patternType="solid">
        <fgColor rgb="FFF3E8FF"/>
        <bgColor indexed="64"/>
      </patternFill>
    </fill>
    <fill>
      <patternFill patternType="solid">
        <fgColor rgb="FFE3F2FD"/>
        <bgColor indexed="64"/>
      </patternFill>
    </fill>
    <fill>
      <patternFill patternType="solid">
        <fgColor rgb="FFBFDBFE"/>
        <bgColor indexed="64"/>
      </patternFill>
    </fill>
    <fill>
      <patternFill patternType="solid">
        <fgColor rgb="FFFFFFFF"/>
        <bgColor indexed="64"/>
      </patternFill>
    </fill>
    <fill>
      <patternFill patternType="solid">
        <fgColor rgb="FF455A64"/>
        <bgColor indexed="64"/>
      </patternFill>
    </fill>
    <fill>
      <patternFill patternType="solid">
        <fgColor rgb="FFECEFF1"/>
        <bgColor indexed="64"/>
      </patternFill>
    </fill>
    <fill>
      <patternFill patternType="solid">
        <fgColor rgb="FFBF360C"/>
        <bgColor indexed="64"/>
      </patternFill>
    </fill>
    <fill>
      <patternFill patternType="solid">
        <fgColor rgb="FFFFF3E0"/>
        <bgColor indexed="64"/>
      </patternFill>
    </fill>
    <fill>
      <patternFill patternType="solid">
        <fgColor rgb="FFF5F5F5"/>
        <bgColor indexed="64"/>
      </patternFill>
    </fill>
    <fill>
      <patternFill patternType="solid">
        <fgColor rgb="FFFFF9C4"/>
        <bgColor indexed="64"/>
      </patternFill>
    </fill>
    <fill>
      <patternFill patternType="solid">
        <fgColor rgb="FFFCE4EC"/>
        <bgColor indexed="64"/>
      </patternFill>
    </fill>
  </fills>
  <borders count="3">
    <border>
      <left/>
      <right/>
      <top/>
      <bottom/>
      <diagonal/>
    </border>
    <border>
      <left style="thin">
        <color rgb="FFBBBBBB"/>
      </left>
      <right style="thin">
        <color rgb="FFBBBBBB"/>
      </right>
      <top style="thin">
        <color rgb="FFBBBBBB"/>
      </top>
      <bottom style="thin">
        <color rgb="FFBBBBBB"/>
      </bottom>
      <diagonal/>
    </border>
    <border>
      <left style="thin">
        <color rgb="FF969696"/>
      </left>
      <right style="thin">
        <color rgb="FF969696"/>
      </right>
      <top style="thin">
        <color rgb="FF969696"/>
      </top>
      <bottom style="thin">
        <color rgb="FF969696"/>
      </bottom>
      <diagonal/>
    </border>
  </borders>
  <cellStyleXfs count="1">
    <xf numFmtId="0" fontId="0" fillId="0" borderId="0"/>
  </cellStyleXfs>
  <cellXfs count="61">
    <xf numFmtId="0" fontId="0" fillId="0" borderId="0" xfId="0"/>
    <xf numFmtId="0" fontId="0" fillId="0" borderId="1" xfId="0" applyBorder="1" applyProtection="1">
      <protection locked="0"/>
    </xf>
    <xf numFmtId="49" fontId="0" fillId="0" borderId="1" xfId="0" applyNumberFormat="1" applyBorder="1" applyProtection="1">
      <protection locked="0"/>
    </xf>
    <xf numFmtId="49" fontId="0" fillId="0" borderId="0" xfId="0" applyNumberFormat="1" applyProtection="1">
      <protection locked="0"/>
    </xf>
    <xf numFmtId="1" fontId="0" fillId="0" borderId="1" xfId="0" applyNumberFormat="1" applyBorder="1" applyProtection="1">
      <protection locked="0"/>
    </xf>
    <xf numFmtId="0" fontId="1" fillId="5" borderId="1" xfId="0" applyFont="1" applyFill="1" applyBorder="1" applyAlignment="1">
      <alignment horizontal="center"/>
    </xf>
    <xf numFmtId="0" fontId="1" fillId="6" borderId="1" xfId="0" applyFont="1" applyFill="1" applyBorder="1" applyAlignment="1">
      <alignment horizontal="center"/>
    </xf>
    <xf numFmtId="49" fontId="8" fillId="7" borderId="1" xfId="0" applyNumberFormat="1" applyFont="1" applyFill="1" applyBorder="1" applyAlignment="1" applyProtection="1">
      <alignment horizontal="center"/>
      <protection locked="0"/>
    </xf>
    <xf numFmtId="0" fontId="10" fillId="0" borderId="2" xfId="0" applyFont="1" applyBorder="1" applyAlignment="1">
      <alignment horizontal="center" vertical="center"/>
    </xf>
    <xf numFmtId="0" fontId="15" fillId="9" borderId="1" xfId="0" applyFont="1" applyFill="1" applyBorder="1" applyAlignment="1">
      <alignment horizontal="center" vertical="center"/>
    </xf>
    <xf numFmtId="0" fontId="15" fillId="18" borderId="1" xfId="0" applyFont="1" applyFill="1" applyBorder="1" applyAlignment="1">
      <alignment horizontal="center" vertical="center"/>
    </xf>
    <xf numFmtId="0" fontId="0" fillId="8" borderId="1" xfId="0" applyFill="1" applyBorder="1"/>
    <xf numFmtId="0" fontId="20" fillId="8" borderId="1" xfId="0" applyFont="1" applyFill="1" applyBorder="1" applyAlignment="1">
      <alignment horizontal="center" vertical="center"/>
    </xf>
    <xf numFmtId="0" fontId="15" fillId="8" borderId="1" xfId="0" applyFont="1" applyFill="1" applyBorder="1" applyAlignment="1">
      <alignment horizontal="center" vertical="center" shrinkToFit="1"/>
    </xf>
    <xf numFmtId="0" fontId="7" fillId="20" borderId="1" xfId="0" applyFont="1" applyFill="1" applyBorder="1" applyAlignment="1">
      <alignment horizontal="center" vertical="center"/>
    </xf>
    <xf numFmtId="0" fontId="21" fillId="15" borderId="1" xfId="0" applyFont="1" applyFill="1" applyBorder="1" applyAlignment="1">
      <alignment horizontal="center" vertical="center" shrinkToFit="1"/>
    </xf>
    <xf numFmtId="0" fontId="22" fillId="15" borderId="1" xfId="0" applyFont="1" applyFill="1" applyBorder="1" applyAlignment="1">
      <alignment horizontal="center" vertical="center"/>
    </xf>
    <xf numFmtId="0" fontId="29" fillId="15" borderId="1" xfId="0" applyFont="1" applyFill="1" applyBorder="1" applyAlignment="1">
      <alignment horizontal="center" vertical="center"/>
    </xf>
    <xf numFmtId="0" fontId="23" fillId="21" borderId="1" xfId="0" applyFont="1" applyFill="1" applyBorder="1" applyAlignment="1">
      <alignment horizontal="center" vertical="center"/>
    </xf>
    <xf numFmtId="0" fontId="26" fillId="17" borderId="1" xfId="0" applyFont="1" applyFill="1" applyBorder="1" applyAlignment="1">
      <alignment horizontal="left" vertical="center"/>
    </xf>
    <xf numFmtId="0" fontId="23" fillId="21" borderId="1" xfId="0" applyFont="1" applyFill="1" applyBorder="1" applyAlignment="1">
      <alignment horizontal="left" vertical="center"/>
    </xf>
    <xf numFmtId="0" fontId="25" fillId="23" borderId="1" xfId="0" applyFont="1" applyFill="1" applyBorder="1" applyAlignment="1">
      <alignment horizontal="right" vertical="center"/>
    </xf>
    <xf numFmtId="0" fontId="23" fillId="21" borderId="1" xfId="0" applyFont="1" applyFill="1" applyBorder="1" applyAlignment="1">
      <alignment horizontal="right" vertical="center"/>
    </xf>
    <xf numFmtId="0" fontId="27" fillId="24" borderId="1" xfId="0" applyFont="1" applyFill="1" applyBorder="1" applyAlignment="1">
      <alignment horizontal="center" vertical="center" shrinkToFit="1"/>
    </xf>
    <xf numFmtId="0" fontId="28" fillId="24" borderId="1" xfId="0" applyFont="1" applyFill="1" applyBorder="1" applyAlignment="1">
      <alignment horizontal="center" vertical="center"/>
    </xf>
    <xf numFmtId="0" fontId="18" fillId="16" borderId="1" xfId="0" applyFont="1" applyFill="1" applyBorder="1" applyAlignment="1" applyProtection="1">
      <alignment horizontal="center" vertical="center"/>
      <protection locked="0"/>
    </xf>
    <xf numFmtId="0" fontId="28" fillId="24" borderId="1" xfId="0" applyFont="1" applyFill="1" applyBorder="1" applyAlignment="1" applyProtection="1">
      <alignment horizontal="center" vertical="center"/>
      <protection locked="0"/>
    </xf>
    <xf numFmtId="0" fontId="1" fillId="2" borderId="1" xfId="0" applyFont="1" applyFill="1" applyBorder="1" applyAlignment="1">
      <alignment horizontal="center" vertical="center"/>
    </xf>
    <xf numFmtId="0" fontId="4" fillId="4" borderId="1" xfId="0" applyFont="1" applyFill="1" applyBorder="1"/>
    <xf numFmtId="0" fontId="3" fillId="0" borderId="0" xfId="0" applyFont="1"/>
    <xf numFmtId="0" fontId="2" fillId="3" borderId="0" xfId="0" applyFont="1" applyFill="1"/>
    <xf numFmtId="49" fontId="4" fillId="4" borderId="1" xfId="0" applyNumberFormat="1" applyFont="1" applyFill="1" applyBorder="1"/>
    <xf numFmtId="0" fontId="13" fillId="19" borderId="1" xfId="0" applyFont="1" applyFill="1" applyBorder="1" applyAlignment="1" applyProtection="1">
      <alignment horizontal="left" vertical="top" wrapText="1"/>
      <protection locked="0"/>
    </xf>
    <xf numFmtId="0" fontId="24" fillId="22" borderId="1" xfId="0" applyFont="1" applyFill="1" applyBorder="1" applyAlignment="1">
      <alignment horizontal="center" vertical="center" shrinkToFit="1"/>
    </xf>
    <xf numFmtId="0" fontId="0" fillId="0" borderId="1" xfId="0" applyBorder="1" applyAlignment="1">
      <alignment horizontal="center" vertical="center" shrinkToFit="1"/>
    </xf>
    <xf numFmtId="49" fontId="17" fillId="15" borderId="1" xfId="0" applyNumberFormat="1" applyFont="1" applyFill="1" applyBorder="1" applyAlignment="1" applyProtection="1">
      <alignment horizontal="center" vertical="center"/>
      <protection locked="0"/>
    </xf>
    <xf numFmtId="0" fontId="19" fillId="17" borderId="1" xfId="0" applyFont="1" applyFill="1" applyBorder="1" applyAlignment="1" applyProtection="1">
      <alignment horizontal="left" vertical="top" wrapText="1"/>
      <protection locked="0"/>
    </xf>
    <xf numFmtId="0" fontId="16" fillId="9" borderId="1" xfId="0" applyFont="1" applyFill="1" applyBorder="1" applyAlignment="1">
      <alignment horizontal="center" vertical="center"/>
    </xf>
    <xf numFmtId="0" fontId="12" fillId="14" borderId="1" xfId="0" applyFont="1" applyFill="1" applyBorder="1" applyAlignment="1">
      <alignment horizontal="center" vertical="center"/>
    </xf>
    <xf numFmtId="49" fontId="14" fillId="10" borderId="1" xfId="0" applyNumberFormat="1" applyFont="1" applyFill="1" applyBorder="1" applyAlignment="1" applyProtection="1">
      <alignment horizontal="center" vertical="center"/>
      <protection locked="0"/>
    </xf>
    <xf numFmtId="49" fontId="14" fillId="11" borderId="1" xfId="0" applyNumberFormat="1" applyFont="1" applyFill="1" applyBorder="1" applyAlignment="1" applyProtection="1">
      <alignment horizontal="center" vertical="center"/>
      <protection locked="0"/>
    </xf>
    <xf numFmtId="49" fontId="14" fillId="12" borderId="1" xfId="0" applyNumberFormat="1" applyFont="1" applyFill="1" applyBorder="1" applyAlignment="1" applyProtection="1">
      <alignment horizontal="center" vertical="center"/>
      <protection locked="0"/>
    </xf>
    <xf numFmtId="49" fontId="14" fillId="13" borderId="1" xfId="0" applyNumberFormat="1" applyFont="1" applyFill="1" applyBorder="1" applyAlignment="1" applyProtection="1">
      <alignment horizontal="center" vertical="center"/>
      <protection locked="0"/>
    </xf>
    <xf numFmtId="49" fontId="14" fillId="14" borderId="1" xfId="0" applyNumberFormat="1" applyFont="1" applyFill="1" applyBorder="1" applyAlignment="1" applyProtection="1">
      <alignment horizontal="center" vertical="center"/>
      <protection locked="0"/>
    </xf>
    <xf numFmtId="0" fontId="13" fillId="10" borderId="1" xfId="0" applyFont="1" applyFill="1" applyBorder="1" applyAlignment="1" applyProtection="1">
      <alignment horizontal="left" vertical="top" wrapText="1"/>
      <protection locked="0"/>
    </xf>
    <xf numFmtId="0" fontId="13" fillId="11" borderId="1" xfId="0" applyFont="1" applyFill="1" applyBorder="1" applyAlignment="1" applyProtection="1">
      <alignment horizontal="left" vertical="top" wrapText="1"/>
      <protection locked="0"/>
    </xf>
    <xf numFmtId="0" fontId="13" fillId="12" borderId="1" xfId="0" applyFont="1" applyFill="1" applyBorder="1" applyAlignment="1" applyProtection="1">
      <alignment horizontal="left" vertical="top" wrapText="1"/>
      <protection locked="0"/>
    </xf>
    <xf numFmtId="0" fontId="13" fillId="13" borderId="1" xfId="0" applyFont="1" applyFill="1" applyBorder="1" applyAlignment="1" applyProtection="1">
      <alignment horizontal="left" vertical="top" wrapText="1"/>
      <protection locked="0"/>
    </xf>
    <xf numFmtId="0" fontId="13" fillId="14" borderId="1" xfId="0" applyFont="1" applyFill="1" applyBorder="1" applyAlignment="1" applyProtection="1">
      <alignment horizontal="left" vertical="top" wrapText="1"/>
      <protection locked="0"/>
    </xf>
    <xf numFmtId="0" fontId="9" fillId="8" borderId="0" xfId="0" applyFont="1" applyFill="1" applyAlignment="1">
      <alignment horizontal="center" vertical="center"/>
    </xf>
    <xf numFmtId="0" fontId="0" fillId="0" borderId="0" xfId="0" applyAlignment="1">
      <alignment horizontal="center" vertical="center"/>
    </xf>
    <xf numFmtId="0" fontId="11" fillId="0" borderId="2" xfId="0" applyFont="1" applyBorder="1" applyAlignment="1">
      <alignment horizontal="center" vertical="top"/>
    </xf>
    <xf numFmtId="0" fontId="0" fillId="0" borderId="2" xfId="0" applyBorder="1" applyAlignment="1">
      <alignment horizontal="center" vertical="top"/>
    </xf>
    <xf numFmtId="0" fontId="7" fillId="9" borderId="1" xfId="0" applyFont="1" applyFill="1" applyBorder="1" applyAlignment="1">
      <alignment horizontal="center" vertical="center"/>
    </xf>
    <xf numFmtId="0" fontId="0" fillId="0" borderId="1" xfId="0" applyBorder="1" applyAlignment="1">
      <alignment horizontal="center" vertical="center"/>
    </xf>
    <xf numFmtId="0" fontId="12" fillId="10" borderId="1" xfId="0" applyFont="1" applyFill="1" applyBorder="1" applyAlignment="1">
      <alignment horizontal="center" vertical="center"/>
    </xf>
    <xf numFmtId="0" fontId="12" fillId="11" borderId="1" xfId="0" applyFont="1" applyFill="1" applyBorder="1" applyAlignment="1">
      <alignment horizontal="center" vertical="center"/>
    </xf>
    <xf numFmtId="0" fontId="12" fillId="12" borderId="1" xfId="0" applyFont="1" applyFill="1" applyBorder="1" applyAlignment="1">
      <alignment horizontal="center" vertical="center"/>
    </xf>
    <xf numFmtId="0" fontId="12" fillId="13" borderId="1" xfId="0" applyFont="1" applyFill="1" applyBorder="1" applyAlignment="1">
      <alignment horizontal="center" vertical="center"/>
    </xf>
    <xf numFmtId="0" fontId="7" fillId="5" borderId="0" xfId="0" applyFont="1" applyFill="1" applyAlignment="1">
      <alignment horizontal="left" vertical="center"/>
    </xf>
    <xf numFmtId="0" fontId="0" fillId="0" borderId="0" xfId="0" applyAlignment="1">
      <alignment horizontal="left" vertical="center"/>
    </xf>
  </cellXfs>
  <cellStyles count="1">
    <cellStyle name="標準"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95250</xdr:colOff>
          <xdr:row>33</xdr:row>
          <xdr:rowOff>114300</xdr:rowOff>
        </xdr:from>
        <xdr:to>
          <xdr:col>6</xdr:col>
          <xdr:colOff>438150</xdr:colOff>
          <xdr:row>34</xdr:row>
          <xdr:rowOff>190500</xdr:rowOff>
        </xdr:to>
        <xdr:sp macro="" textlink="">
          <xdr:nvSpPr>
            <xdr:cNvPr id="2049" name="BtnSetup"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900" b="0" i="0" u="none" strike="noStrike" baseline="0">
                  <a:solidFill>
                    <a:srgbClr val="000000"/>
                  </a:solidFill>
                  <a:latin typeface="メイリオ"/>
                  <a:ea typeface="メイリオ"/>
                </a:rPr>
                <a:t>設定を完了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69850</xdr:colOff>
          <xdr:row>1</xdr:row>
          <xdr:rowOff>38100</xdr:rowOff>
        </xdr:from>
        <xdr:to>
          <xdr:col>6</xdr:col>
          <xdr:colOff>374650</xdr:colOff>
          <xdr:row>2</xdr:row>
          <xdr:rowOff>107950</xdr:rowOff>
        </xdr:to>
        <xdr:sp macro="" textlink="">
          <xdr:nvSpPr>
            <xdr:cNvPr id="2050" name="Auto_0"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900" b="0" i="0" u="none" strike="noStrike" baseline="0">
                  <a:solidFill>
                    <a:srgbClr val="000000"/>
                  </a:solidFill>
                  <a:latin typeface="メイリオ"/>
                  <a:ea typeface="メイリオ"/>
                </a:rPr>
                <a:t>新しい週を追加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69850</xdr:colOff>
          <xdr:row>3</xdr:row>
          <xdr:rowOff>38100</xdr:rowOff>
        </xdr:from>
        <xdr:to>
          <xdr:col>6</xdr:col>
          <xdr:colOff>374650</xdr:colOff>
          <xdr:row>4</xdr:row>
          <xdr:rowOff>152400</xdr:rowOff>
        </xdr:to>
        <xdr:sp macro="" textlink="">
          <xdr:nvSpPr>
            <xdr:cNvPr id="2051" name="Auto_1"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900" b="0" i="0" u="none" strike="noStrike" baseline="0">
                  <a:solidFill>
                    <a:srgbClr val="000000"/>
                  </a:solidFill>
                  <a:latin typeface="メイリオ"/>
                  <a:ea typeface="メイリオ"/>
                </a:rPr>
                <a:t>1学期PDF出力</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69850</xdr:colOff>
          <xdr:row>5</xdr:row>
          <xdr:rowOff>50800</xdr:rowOff>
        </xdr:from>
        <xdr:to>
          <xdr:col>6</xdr:col>
          <xdr:colOff>374650</xdr:colOff>
          <xdr:row>6</xdr:row>
          <xdr:rowOff>114300</xdr:rowOff>
        </xdr:to>
        <xdr:sp macro="" textlink="">
          <xdr:nvSpPr>
            <xdr:cNvPr id="2052" name="Auto_2"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900" b="0" i="0" u="none" strike="noStrike" baseline="0">
                  <a:solidFill>
                    <a:srgbClr val="000000"/>
                  </a:solidFill>
                  <a:latin typeface="メイリオ"/>
                  <a:ea typeface="メイリオ"/>
                </a:rPr>
                <a:t>2学期PDF出力</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69850</xdr:colOff>
          <xdr:row>7</xdr:row>
          <xdr:rowOff>31750</xdr:rowOff>
        </xdr:from>
        <xdr:to>
          <xdr:col>6</xdr:col>
          <xdr:colOff>374650</xdr:colOff>
          <xdr:row>8</xdr:row>
          <xdr:rowOff>107950</xdr:rowOff>
        </xdr:to>
        <xdr:sp macro="" textlink="">
          <xdr:nvSpPr>
            <xdr:cNvPr id="2053" name="Auto_3"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900" b="0" i="0" u="none" strike="noStrike" baseline="0">
                  <a:solidFill>
                    <a:srgbClr val="000000"/>
                  </a:solidFill>
                  <a:latin typeface="メイリオ"/>
                  <a:ea typeface="メイリオ"/>
                </a:rPr>
                <a:t>3学期PDF出力</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69850</xdr:colOff>
          <xdr:row>9</xdr:row>
          <xdr:rowOff>50800</xdr:rowOff>
        </xdr:from>
        <xdr:to>
          <xdr:col>6</xdr:col>
          <xdr:colOff>374650</xdr:colOff>
          <xdr:row>10</xdr:row>
          <xdr:rowOff>114300</xdr:rowOff>
        </xdr:to>
        <xdr:sp macro="" textlink="">
          <xdr:nvSpPr>
            <xdr:cNvPr id="2054" name="Auto_4"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900" b="0" i="0" u="none" strike="noStrike" baseline="0">
                  <a:solidFill>
                    <a:srgbClr val="000000"/>
                  </a:solidFill>
                  <a:latin typeface="メイリオ"/>
                  <a:ea typeface="メイリオ"/>
                </a:rPr>
                <a:t>次年度ファイルを作成</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0</xdr:colOff>
      <xdr:row>22</xdr:row>
      <xdr:rowOff>0</xdr:rowOff>
    </xdr:from>
    <xdr:to>
      <xdr:col>2</xdr:col>
      <xdr:colOff>0</xdr:colOff>
      <xdr:row>24</xdr:row>
      <xdr:rowOff>0</xdr:rowOff>
    </xdr:to>
    <xdr:cxnSp macro="">
      <xdr:nvCxnSpPr>
        <xdr:cNvPr id="2" name="DiagLine1">
          <a:extLst>
            <a:ext uri="{FF2B5EF4-FFF2-40B4-BE49-F238E27FC236}">
              <a16:creationId xmlns:a16="http://schemas.microsoft.com/office/drawing/2014/main" id="{FA128F94-917C-4236-CB55-9FD448517D05}"/>
            </a:ext>
          </a:extLst>
        </xdr:cNvPr>
        <xdr:cNvCxnSpPr/>
      </xdr:nvCxnSpPr>
      <xdr:spPr>
        <a:xfrm flipH="1">
          <a:off x="387350" y="9874250"/>
          <a:ext cx="4000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22</xdr:row>
      <xdr:rowOff>0</xdr:rowOff>
    </xdr:from>
    <xdr:to>
      <xdr:col>3</xdr:col>
      <xdr:colOff>0</xdr:colOff>
      <xdr:row>24</xdr:row>
      <xdr:rowOff>0</xdr:rowOff>
    </xdr:to>
    <xdr:cxnSp macro="">
      <xdr:nvCxnSpPr>
        <xdr:cNvPr id="3" name="DiagLine2">
          <a:extLst>
            <a:ext uri="{FF2B5EF4-FFF2-40B4-BE49-F238E27FC236}">
              <a16:creationId xmlns:a16="http://schemas.microsoft.com/office/drawing/2014/main" id="{D5C3A9C5-E5AD-8876-3DBF-001BDF1F97B0}"/>
            </a:ext>
          </a:extLst>
        </xdr:cNvPr>
        <xdr:cNvCxnSpPr/>
      </xdr:nvCxnSpPr>
      <xdr:spPr>
        <a:xfrm flipH="1">
          <a:off x="787400" y="9874250"/>
          <a:ext cx="4000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22</xdr:row>
      <xdr:rowOff>0</xdr:rowOff>
    </xdr:from>
    <xdr:to>
      <xdr:col>4</xdr:col>
      <xdr:colOff>0</xdr:colOff>
      <xdr:row>24</xdr:row>
      <xdr:rowOff>0</xdr:rowOff>
    </xdr:to>
    <xdr:cxnSp macro="">
      <xdr:nvCxnSpPr>
        <xdr:cNvPr id="4" name="DiagLine3">
          <a:extLst>
            <a:ext uri="{FF2B5EF4-FFF2-40B4-BE49-F238E27FC236}">
              <a16:creationId xmlns:a16="http://schemas.microsoft.com/office/drawing/2014/main" id="{4537BC93-BD06-6135-6095-4293589AFCF2}"/>
            </a:ext>
          </a:extLst>
        </xdr:cNvPr>
        <xdr:cNvCxnSpPr/>
      </xdr:nvCxnSpPr>
      <xdr:spPr>
        <a:xfrm flipH="1">
          <a:off x="1187450" y="9874250"/>
          <a:ext cx="4000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22</xdr:row>
      <xdr:rowOff>0</xdr:rowOff>
    </xdr:from>
    <xdr:to>
      <xdr:col>5</xdr:col>
      <xdr:colOff>0</xdr:colOff>
      <xdr:row>24</xdr:row>
      <xdr:rowOff>0</xdr:rowOff>
    </xdr:to>
    <xdr:cxnSp macro="">
      <xdr:nvCxnSpPr>
        <xdr:cNvPr id="5" name="DiagLine4">
          <a:extLst>
            <a:ext uri="{FF2B5EF4-FFF2-40B4-BE49-F238E27FC236}">
              <a16:creationId xmlns:a16="http://schemas.microsoft.com/office/drawing/2014/main" id="{EAF2C211-0ACE-CCCF-1145-5427451C169D}"/>
            </a:ext>
          </a:extLst>
        </xdr:cNvPr>
        <xdr:cNvCxnSpPr/>
      </xdr:nvCxnSpPr>
      <xdr:spPr>
        <a:xfrm flipH="1">
          <a:off x="1587500" y="9874250"/>
          <a:ext cx="4000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22</xdr:row>
      <xdr:rowOff>0</xdr:rowOff>
    </xdr:from>
    <xdr:to>
      <xdr:col>6</xdr:col>
      <xdr:colOff>0</xdr:colOff>
      <xdr:row>24</xdr:row>
      <xdr:rowOff>0</xdr:rowOff>
    </xdr:to>
    <xdr:cxnSp macro="">
      <xdr:nvCxnSpPr>
        <xdr:cNvPr id="6" name="DiagLine5">
          <a:extLst>
            <a:ext uri="{FF2B5EF4-FFF2-40B4-BE49-F238E27FC236}">
              <a16:creationId xmlns:a16="http://schemas.microsoft.com/office/drawing/2014/main" id="{31DC41A7-782C-B1D8-7F81-4760B924F62A}"/>
            </a:ext>
          </a:extLst>
        </xdr:cNvPr>
        <xdr:cNvCxnSpPr/>
      </xdr:nvCxnSpPr>
      <xdr:spPr>
        <a:xfrm flipH="1">
          <a:off x="1987550" y="9874250"/>
          <a:ext cx="4000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22</xdr:row>
      <xdr:rowOff>0</xdr:rowOff>
    </xdr:from>
    <xdr:to>
      <xdr:col>7</xdr:col>
      <xdr:colOff>0</xdr:colOff>
      <xdr:row>24</xdr:row>
      <xdr:rowOff>0</xdr:rowOff>
    </xdr:to>
    <xdr:cxnSp macro="">
      <xdr:nvCxnSpPr>
        <xdr:cNvPr id="7" name="DiagLine6">
          <a:extLst>
            <a:ext uri="{FF2B5EF4-FFF2-40B4-BE49-F238E27FC236}">
              <a16:creationId xmlns:a16="http://schemas.microsoft.com/office/drawing/2014/main" id="{5B74AF99-C8B3-42C5-E1A9-B7DCA334E472}"/>
            </a:ext>
          </a:extLst>
        </xdr:cNvPr>
        <xdr:cNvCxnSpPr/>
      </xdr:nvCxnSpPr>
      <xdr:spPr>
        <a:xfrm flipH="1">
          <a:off x="2387600" y="9874250"/>
          <a:ext cx="4000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22</xdr:row>
      <xdr:rowOff>0</xdr:rowOff>
    </xdr:from>
    <xdr:to>
      <xdr:col>8</xdr:col>
      <xdr:colOff>0</xdr:colOff>
      <xdr:row>24</xdr:row>
      <xdr:rowOff>0</xdr:rowOff>
    </xdr:to>
    <xdr:cxnSp macro="">
      <xdr:nvCxnSpPr>
        <xdr:cNvPr id="8" name="DiagLine7">
          <a:extLst>
            <a:ext uri="{FF2B5EF4-FFF2-40B4-BE49-F238E27FC236}">
              <a16:creationId xmlns:a16="http://schemas.microsoft.com/office/drawing/2014/main" id="{247939D7-D920-C32E-7883-6F593CBF1430}"/>
            </a:ext>
          </a:extLst>
        </xdr:cNvPr>
        <xdr:cNvCxnSpPr/>
      </xdr:nvCxnSpPr>
      <xdr:spPr>
        <a:xfrm flipH="1">
          <a:off x="2787650" y="9874250"/>
          <a:ext cx="4000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22</xdr:row>
      <xdr:rowOff>0</xdr:rowOff>
    </xdr:from>
    <xdr:to>
      <xdr:col>9</xdr:col>
      <xdr:colOff>0</xdr:colOff>
      <xdr:row>24</xdr:row>
      <xdr:rowOff>0</xdr:rowOff>
    </xdr:to>
    <xdr:cxnSp macro="">
      <xdr:nvCxnSpPr>
        <xdr:cNvPr id="9" name="DiagLine8">
          <a:extLst>
            <a:ext uri="{FF2B5EF4-FFF2-40B4-BE49-F238E27FC236}">
              <a16:creationId xmlns:a16="http://schemas.microsoft.com/office/drawing/2014/main" id="{80B75944-E707-B63D-31C0-1F3131125FE5}"/>
            </a:ext>
          </a:extLst>
        </xdr:cNvPr>
        <xdr:cNvCxnSpPr/>
      </xdr:nvCxnSpPr>
      <xdr:spPr>
        <a:xfrm flipH="1">
          <a:off x="3187700" y="9874250"/>
          <a:ext cx="4000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22</xdr:row>
      <xdr:rowOff>0</xdr:rowOff>
    </xdr:from>
    <xdr:to>
      <xdr:col>10</xdr:col>
      <xdr:colOff>0</xdr:colOff>
      <xdr:row>24</xdr:row>
      <xdr:rowOff>0</xdr:rowOff>
    </xdr:to>
    <xdr:cxnSp macro="">
      <xdr:nvCxnSpPr>
        <xdr:cNvPr id="10" name="DiagLine9">
          <a:extLst>
            <a:ext uri="{FF2B5EF4-FFF2-40B4-BE49-F238E27FC236}">
              <a16:creationId xmlns:a16="http://schemas.microsoft.com/office/drawing/2014/main" id="{1455CF95-C79E-C490-3F4F-C6069F7CF681}"/>
            </a:ext>
          </a:extLst>
        </xdr:cNvPr>
        <xdr:cNvCxnSpPr/>
      </xdr:nvCxnSpPr>
      <xdr:spPr>
        <a:xfrm flipH="1">
          <a:off x="3587750" y="9874250"/>
          <a:ext cx="4000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22</xdr:row>
      <xdr:rowOff>0</xdr:rowOff>
    </xdr:from>
    <xdr:to>
      <xdr:col>11</xdr:col>
      <xdr:colOff>0</xdr:colOff>
      <xdr:row>24</xdr:row>
      <xdr:rowOff>0</xdr:rowOff>
    </xdr:to>
    <xdr:cxnSp macro="">
      <xdr:nvCxnSpPr>
        <xdr:cNvPr id="11" name="DiagLine10">
          <a:extLst>
            <a:ext uri="{FF2B5EF4-FFF2-40B4-BE49-F238E27FC236}">
              <a16:creationId xmlns:a16="http://schemas.microsoft.com/office/drawing/2014/main" id="{1ABECE1E-5452-05A9-C6C0-98DD48142E42}"/>
            </a:ext>
          </a:extLst>
        </xdr:cNvPr>
        <xdr:cNvCxnSpPr/>
      </xdr:nvCxnSpPr>
      <xdr:spPr>
        <a:xfrm flipH="1">
          <a:off x="3987800" y="9874250"/>
          <a:ext cx="4000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22</xdr:row>
      <xdr:rowOff>0</xdr:rowOff>
    </xdr:from>
    <xdr:to>
      <xdr:col>12</xdr:col>
      <xdr:colOff>0</xdr:colOff>
      <xdr:row>24</xdr:row>
      <xdr:rowOff>0</xdr:rowOff>
    </xdr:to>
    <xdr:cxnSp macro="">
      <xdr:nvCxnSpPr>
        <xdr:cNvPr id="12" name="DiagLine11">
          <a:extLst>
            <a:ext uri="{FF2B5EF4-FFF2-40B4-BE49-F238E27FC236}">
              <a16:creationId xmlns:a16="http://schemas.microsoft.com/office/drawing/2014/main" id="{BB249469-5C97-2F4F-AB08-0DB4D842CFC0}"/>
            </a:ext>
          </a:extLst>
        </xdr:cNvPr>
        <xdr:cNvCxnSpPr/>
      </xdr:nvCxnSpPr>
      <xdr:spPr>
        <a:xfrm flipH="1">
          <a:off x="4387850" y="9874250"/>
          <a:ext cx="4000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22</xdr:row>
      <xdr:rowOff>0</xdr:rowOff>
    </xdr:from>
    <xdr:to>
      <xdr:col>13</xdr:col>
      <xdr:colOff>0</xdr:colOff>
      <xdr:row>24</xdr:row>
      <xdr:rowOff>0</xdr:rowOff>
    </xdr:to>
    <xdr:cxnSp macro="">
      <xdr:nvCxnSpPr>
        <xdr:cNvPr id="13" name="DiagLine12">
          <a:extLst>
            <a:ext uri="{FF2B5EF4-FFF2-40B4-BE49-F238E27FC236}">
              <a16:creationId xmlns:a16="http://schemas.microsoft.com/office/drawing/2014/main" id="{0F587BB2-044F-05AC-D9C9-382A8350AE6D}"/>
            </a:ext>
          </a:extLst>
        </xdr:cNvPr>
        <xdr:cNvCxnSpPr/>
      </xdr:nvCxnSpPr>
      <xdr:spPr>
        <a:xfrm flipH="1">
          <a:off x="4787900" y="9874250"/>
          <a:ext cx="4000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22</xdr:row>
      <xdr:rowOff>0</xdr:rowOff>
    </xdr:from>
    <xdr:to>
      <xdr:col>14</xdr:col>
      <xdr:colOff>0</xdr:colOff>
      <xdr:row>24</xdr:row>
      <xdr:rowOff>0</xdr:rowOff>
    </xdr:to>
    <xdr:cxnSp macro="">
      <xdr:nvCxnSpPr>
        <xdr:cNvPr id="14" name="DiagLine13">
          <a:extLst>
            <a:ext uri="{FF2B5EF4-FFF2-40B4-BE49-F238E27FC236}">
              <a16:creationId xmlns:a16="http://schemas.microsoft.com/office/drawing/2014/main" id="{B8AEBA7C-8EAC-A772-64A0-6D681FF486EB}"/>
            </a:ext>
          </a:extLst>
        </xdr:cNvPr>
        <xdr:cNvCxnSpPr/>
      </xdr:nvCxnSpPr>
      <xdr:spPr>
        <a:xfrm flipH="1">
          <a:off x="5187950" y="9874250"/>
          <a:ext cx="4000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22</xdr:row>
      <xdr:rowOff>0</xdr:rowOff>
    </xdr:from>
    <xdr:to>
      <xdr:col>16</xdr:col>
      <xdr:colOff>0</xdr:colOff>
      <xdr:row>24</xdr:row>
      <xdr:rowOff>0</xdr:rowOff>
    </xdr:to>
    <xdr:cxnSp macro="">
      <xdr:nvCxnSpPr>
        <xdr:cNvPr id="15" name="DiagLine14">
          <a:extLst>
            <a:ext uri="{FF2B5EF4-FFF2-40B4-BE49-F238E27FC236}">
              <a16:creationId xmlns:a16="http://schemas.microsoft.com/office/drawing/2014/main" id="{1E16638C-B283-8B25-2226-A5C5B81EE3D1}"/>
            </a:ext>
          </a:extLst>
        </xdr:cNvPr>
        <xdr:cNvCxnSpPr/>
      </xdr:nvCxnSpPr>
      <xdr:spPr>
        <a:xfrm flipH="1">
          <a:off x="5988050" y="9874250"/>
          <a:ext cx="4000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17</xdr:col>
          <xdr:colOff>69850</xdr:colOff>
          <xdr:row>3</xdr:row>
          <xdr:rowOff>50800</xdr:rowOff>
        </xdr:from>
        <xdr:to>
          <xdr:col>18</xdr:col>
          <xdr:colOff>603250</xdr:colOff>
          <xdr:row>3</xdr:row>
          <xdr:rowOff>355600</xdr:rowOff>
        </xdr:to>
        <xdr:sp macro="" textlink="">
          <xdr:nvSpPr>
            <xdr:cNvPr id="3073" name="Btn_0"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900" b="0" i="0" u="none" strike="noStrike" baseline="0">
                  <a:solidFill>
                    <a:srgbClr val="000000"/>
                  </a:solidFill>
                  <a:latin typeface="メイリオ"/>
                  <a:ea typeface="メイリオ"/>
                </a:rPr>
                <a:t>新しい週を追加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69850</xdr:colOff>
          <xdr:row>3</xdr:row>
          <xdr:rowOff>450850</xdr:rowOff>
        </xdr:from>
        <xdr:to>
          <xdr:col>18</xdr:col>
          <xdr:colOff>603250</xdr:colOff>
          <xdr:row>4</xdr:row>
          <xdr:rowOff>57150</xdr:rowOff>
        </xdr:to>
        <xdr:sp macro="" textlink="">
          <xdr:nvSpPr>
            <xdr:cNvPr id="3074" name="Btn_1" hidden="1">
              <a:extLst>
                <a:ext uri="{63B3BB69-23CF-44E3-9099-C40C66FF867C}">
                  <a14:compatExt spid="_x0000_s3074"/>
                </a:ext>
                <a:ext uri="{FF2B5EF4-FFF2-40B4-BE49-F238E27FC236}">
                  <a16:creationId xmlns:a16="http://schemas.microsoft.com/office/drawing/2014/main" id="{00000000-0008-0000-0300-0000020C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900" b="0" i="0" u="none" strike="noStrike" baseline="0">
                  <a:solidFill>
                    <a:srgbClr val="000000"/>
                  </a:solidFill>
                  <a:latin typeface="メイリオ"/>
                  <a:ea typeface="メイリオ"/>
                </a:rPr>
                <a:t>時間割を再展開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69850</xdr:colOff>
          <xdr:row>4</xdr:row>
          <xdr:rowOff>165100</xdr:rowOff>
        </xdr:from>
        <xdr:to>
          <xdr:col>18</xdr:col>
          <xdr:colOff>603250</xdr:colOff>
          <xdr:row>5</xdr:row>
          <xdr:rowOff>241300</xdr:rowOff>
        </xdr:to>
        <xdr:sp macro="" textlink="">
          <xdr:nvSpPr>
            <xdr:cNvPr id="3075" name="Btn_2" hidden="1">
              <a:extLst>
                <a:ext uri="{63B3BB69-23CF-44E3-9099-C40C66FF867C}">
                  <a14:compatExt spid="_x0000_s3075"/>
                </a:ext>
                <a:ext uri="{FF2B5EF4-FFF2-40B4-BE49-F238E27FC236}">
                  <a16:creationId xmlns:a16="http://schemas.microsoft.com/office/drawing/2014/main" id="{00000000-0008-0000-0300-0000030C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900" b="0" i="0" u="none" strike="noStrike" baseline="0">
                  <a:solidFill>
                    <a:srgbClr val="000000"/>
                  </a:solidFill>
                  <a:latin typeface="メイリオ"/>
                  <a:ea typeface="メイリオ"/>
                </a:rPr>
                <a:t>累計を更新</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0</xdr:colOff>
      <xdr:row>22</xdr:row>
      <xdr:rowOff>0</xdr:rowOff>
    </xdr:from>
    <xdr:to>
      <xdr:col>2</xdr:col>
      <xdr:colOff>0</xdr:colOff>
      <xdr:row>24</xdr:row>
      <xdr:rowOff>0</xdr:rowOff>
    </xdr:to>
    <xdr:cxnSp macro="">
      <xdr:nvCxnSpPr>
        <xdr:cNvPr id="2" name="DiagLine1">
          <a:extLst>
            <a:ext uri="{FF2B5EF4-FFF2-40B4-BE49-F238E27FC236}">
              <a16:creationId xmlns:a16="http://schemas.microsoft.com/office/drawing/2014/main" id="{E0E8B00A-2A2B-27E9-C024-A10E47773EE3}"/>
            </a:ext>
          </a:extLst>
        </xdr:cNvPr>
        <xdr:cNvCxnSpPr/>
      </xdr:nvCxnSpPr>
      <xdr:spPr>
        <a:xfrm flipH="1">
          <a:off x="387350" y="9874250"/>
          <a:ext cx="4000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22</xdr:row>
      <xdr:rowOff>0</xdr:rowOff>
    </xdr:from>
    <xdr:to>
      <xdr:col>3</xdr:col>
      <xdr:colOff>0</xdr:colOff>
      <xdr:row>24</xdr:row>
      <xdr:rowOff>0</xdr:rowOff>
    </xdr:to>
    <xdr:cxnSp macro="">
      <xdr:nvCxnSpPr>
        <xdr:cNvPr id="3" name="DiagLine2">
          <a:extLst>
            <a:ext uri="{FF2B5EF4-FFF2-40B4-BE49-F238E27FC236}">
              <a16:creationId xmlns:a16="http://schemas.microsoft.com/office/drawing/2014/main" id="{6AC03D0B-42C1-A15A-8C69-44F93BA989BA}"/>
            </a:ext>
          </a:extLst>
        </xdr:cNvPr>
        <xdr:cNvCxnSpPr/>
      </xdr:nvCxnSpPr>
      <xdr:spPr>
        <a:xfrm flipH="1">
          <a:off x="787400" y="9874250"/>
          <a:ext cx="4000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22</xdr:row>
      <xdr:rowOff>0</xdr:rowOff>
    </xdr:from>
    <xdr:to>
      <xdr:col>4</xdr:col>
      <xdr:colOff>0</xdr:colOff>
      <xdr:row>24</xdr:row>
      <xdr:rowOff>0</xdr:rowOff>
    </xdr:to>
    <xdr:cxnSp macro="">
      <xdr:nvCxnSpPr>
        <xdr:cNvPr id="4" name="DiagLine3">
          <a:extLst>
            <a:ext uri="{FF2B5EF4-FFF2-40B4-BE49-F238E27FC236}">
              <a16:creationId xmlns:a16="http://schemas.microsoft.com/office/drawing/2014/main" id="{BEE1F07B-6784-352F-A52F-1D42A8408716}"/>
            </a:ext>
          </a:extLst>
        </xdr:cNvPr>
        <xdr:cNvCxnSpPr/>
      </xdr:nvCxnSpPr>
      <xdr:spPr>
        <a:xfrm flipH="1">
          <a:off x="1187450" y="9874250"/>
          <a:ext cx="4000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22</xdr:row>
      <xdr:rowOff>0</xdr:rowOff>
    </xdr:from>
    <xdr:to>
      <xdr:col>5</xdr:col>
      <xdr:colOff>0</xdr:colOff>
      <xdr:row>24</xdr:row>
      <xdr:rowOff>0</xdr:rowOff>
    </xdr:to>
    <xdr:cxnSp macro="">
      <xdr:nvCxnSpPr>
        <xdr:cNvPr id="5" name="DiagLine4">
          <a:extLst>
            <a:ext uri="{FF2B5EF4-FFF2-40B4-BE49-F238E27FC236}">
              <a16:creationId xmlns:a16="http://schemas.microsoft.com/office/drawing/2014/main" id="{04E4048F-12F8-CF84-9BEA-EE9C058996E4}"/>
            </a:ext>
          </a:extLst>
        </xdr:cNvPr>
        <xdr:cNvCxnSpPr/>
      </xdr:nvCxnSpPr>
      <xdr:spPr>
        <a:xfrm flipH="1">
          <a:off x="1587500" y="9874250"/>
          <a:ext cx="4000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22</xdr:row>
      <xdr:rowOff>0</xdr:rowOff>
    </xdr:from>
    <xdr:to>
      <xdr:col>6</xdr:col>
      <xdr:colOff>0</xdr:colOff>
      <xdr:row>24</xdr:row>
      <xdr:rowOff>0</xdr:rowOff>
    </xdr:to>
    <xdr:cxnSp macro="">
      <xdr:nvCxnSpPr>
        <xdr:cNvPr id="6" name="DiagLine5">
          <a:extLst>
            <a:ext uri="{FF2B5EF4-FFF2-40B4-BE49-F238E27FC236}">
              <a16:creationId xmlns:a16="http://schemas.microsoft.com/office/drawing/2014/main" id="{A927F5D7-3549-A9E5-D64E-4F3D7AB68546}"/>
            </a:ext>
          </a:extLst>
        </xdr:cNvPr>
        <xdr:cNvCxnSpPr/>
      </xdr:nvCxnSpPr>
      <xdr:spPr>
        <a:xfrm flipH="1">
          <a:off x="1987550" y="9874250"/>
          <a:ext cx="4000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22</xdr:row>
      <xdr:rowOff>0</xdr:rowOff>
    </xdr:from>
    <xdr:to>
      <xdr:col>7</xdr:col>
      <xdr:colOff>0</xdr:colOff>
      <xdr:row>24</xdr:row>
      <xdr:rowOff>0</xdr:rowOff>
    </xdr:to>
    <xdr:cxnSp macro="">
      <xdr:nvCxnSpPr>
        <xdr:cNvPr id="7" name="DiagLine6">
          <a:extLst>
            <a:ext uri="{FF2B5EF4-FFF2-40B4-BE49-F238E27FC236}">
              <a16:creationId xmlns:a16="http://schemas.microsoft.com/office/drawing/2014/main" id="{BB4EA334-AF19-76A6-911F-CFED5902DEB3}"/>
            </a:ext>
          </a:extLst>
        </xdr:cNvPr>
        <xdr:cNvCxnSpPr/>
      </xdr:nvCxnSpPr>
      <xdr:spPr>
        <a:xfrm flipH="1">
          <a:off x="2387600" y="9874250"/>
          <a:ext cx="4000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22</xdr:row>
      <xdr:rowOff>0</xdr:rowOff>
    </xdr:from>
    <xdr:to>
      <xdr:col>8</xdr:col>
      <xdr:colOff>0</xdr:colOff>
      <xdr:row>24</xdr:row>
      <xdr:rowOff>0</xdr:rowOff>
    </xdr:to>
    <xdr:cxnSp macro="">
      <xdr:nvCxnSpPr>
        <xdr:cNvPr id="8" name="DiagLine7">
          <a:extLst>
            <a:ext uri="{FF2B5EF4-FFF2-40B4-BE49-F238E27FC236}">
              <a16:creationId xmlns:a16="http://schemas.microsoft.com/office/drawing/2014/main" id="{39E3A218-8AAC-842E-878B-17CB1D72709C}"/>
            </a:ext>
          </a:extLst>
        </xdr:cNvPr>
        <xdr:cNvCxnSpPr/>
      </xdr:nvCxnSpPr>
      <xdr:spPr>
        <a:xfrm flipH="1">
          <a:off x="2787650" y="9874250"/>
          <a:ext cx="4000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22</xdr:row>
      <xdr:rowOff>0</xdr:rowOff>
    </xdr:from>
    <xdr:to>
      <xdr:col>9</xdr:col>
      <xdr:colOff>0</xdr:colOff>
      <xdr:row>24</xdr:row>
      <xdr:rowOff>0</xdr:rowOff>
    </xdr:to>
    <xdr:cxnSp macro="">
      <xdr:nvCxnSpPr>
        <xdr:cNvPr id="9" name="DiagLine8">
          <a:extLst>
            <a:ext uri="{FF2B5EF4-FFF2-40B4-BE49-F238E27FC236}">
              <a16:creationId xmlns:a16="http://schemas.microsoft.com/office/drawing/2014/main" id="{A9873F9D-AD04-F47B-D2C6-4ED279CE0635}"/>
            </a:ext>
          </a:extLst>
        </xdr:cNvPr>
        <xdr:cNvCxnSpPr/>
      </xdr:nvCxnSpPr>
      <xdr:spPr>
        <a:xfrm flipH="1">
          <a:off x="3187700" y="9874250"/>
          <a:ext cx="4000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22</xdr:row>
      <xdr:rowOff>0</xdr:rowOff>
    </xdr:from>
    <xdr:to>
      <xdr:col>10</xdr:col>
      <xdr:colOff>0</xdr:colOff>
      <xdr:row>24</xdr:row>
      <xdr:rowOff>0</xdr:rowOff>
    </xdr:to>
    <xdr:cxnSp macro="">
      <xdr:nvCxnSpPr>
        <xdr:cNvPr id="10" name="DiagLine9">
          <a:extLst>
            <a:ext uri="{FF2B5EF4-FFF2-40B4-BE49-F238E27FC236}">
              <a16:creationId xmlns:a16="http://schemas.microsoft.com/office/drawing/2014/main" id="{D1C19B75-7A82-85A6-A08A-53A8F4D750A3}"/>
            </a:ext>
          </a:extLst>
        </xdr:cNvPr>
        <xdr:cNvCxnSpPr/>
      </xdr:nvCxnSpPr>
      <xdr:spPr>
        <a:xfrm flipH="1">
          <a:off x="3587750" y="9874250"/>
          <a:ext cx="4000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22</xdr:row>
      <xdr:rowOff>0</xdr:rowOff>
    </xdr:from>
    <xdr:to>
      <xdr:col>11</xdr:col>
      <xdr:colOff>0</xdr:colOff>
      <xdr:row>24</xdr:row>
      <xdr:rowOff>0</xdr:rowOff>
    </xdr:to>
    <xdr:cxnSp macro="">
      <xdr:nvCxnSpPr>
        <xdr:cNvPr id="11" name="DiagLine10">
          <a:extLst>
            <a:ext uri="{FF2B5EF4-FFF2-40B4-BE49-F238E27FC236}">
              <a16:creationId xmlns:a16="http://schemas.microsoft.com/office/drawing/2014/main" id="{2498C50D-4E88-D45F-6B3E-A11124344614}"/>
            </a:ext>
          </a:extLst>
        </xdr:cNvPr>
        <xdr:cNvCxnSpPr/>
      </xdr:nvCxnSpPr>
      <xdr:spPr>
        <a:xfrm flipH="1">
          <a:off x="3987800" y="9874250"/>
          <a:ext cx="4000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22</xdr:row>
      <xdr:rowOff>0</xdr:rowOff>
    </xdr:from>
    <xdr:to>
      <xdr:col>12</xdr:col>
      <xdr:colOff>0</xdr:colOff>
      <xdr:row>24</xdr:row>
      <xdr:rowOff>0</xdr:rowOff>
    </xdr:to>
    <xdr:cxnSp macro="">
      <xdr:nvCxnSpPr>
        <xdr:cNvPr id="12" name="DiagLine11">
          <a:extLst>
            <a:ext uri="{FF2B5EF4-FFF2-40B4-BE49-F238E27FC236}">
              <a16:creationId xmlns:a16="http://schemas.microsoft.com/office/drawing/2014/main" id="{7B08E2B7-82B2-D709-FB7E-D11788208233}"/>
            </a:ext>
          </a:extLst>
        </xdr:cNvPr>
        <xdr:cNvCxnSpPr/>
      </xdr:nvCxnSpPr>
      <xdr:spPr>
        <a:xfrm flipH="1">
          <a:off x="4387850" y="9874250"/>
          <a:ext cx="4000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22</xdr:row>
      <xdr:rowOff>0</xdr:rowOff>
    </xdr:from>
    <xdr:to>
      <xdr:col>13</xdr:col>
      <xdr:colOff>0</xdr:colOff>
      <xdr:row>24</xdr:row>
      <xdr:rowOff>0</xdr:rowOff>
    </xdr:to>
    <xdr:cxnSp macro="">
      <xdr:nvCxnSpPr>
        <xdr:cNvPr id="13" name="DiagLine12">
          <a:extLst>
            <a:ext uri="{FF2B5EF4-FFF2-40B4-BE49-F238E27FC236}">
              <a16:creationId xmlns:a16="http://schemas.microsoft.com/office/drawing/2014/main" id="{14187DD0-9138-A327-F6E7-5B7BD558428B}"/>
            </a:ext>
          </a:extLst>
        </xdr:cNvPr>
        <xdr:cNvCxnSpPr/>
      </xdr:nvCxnSpPr>
      <xdr:spPr>
        <a:xfrm flipH="1">
          <a:off x="4787900" y="9874250"/>
          <a:ext cx="4000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22</xdr:row>
      <xdr:rowOff>0</xdr:rowOff>
    </xdr:from>
    <xdr:to>
      <xdr:col>14</xdr:col>
      <xdr:colOff>0</xdr:colOff>
      <xdr:row>24</xdr:row>
      <xdr:rowOff>0</xdr:rowOff>
    </xdr:to>
    <xdr:cxnSp macro="">
      <xdr:nvCxnSpPr>
        <xdr:cNvPr id="14" name="DiagLine13">
          <a:extLst>
            <a:ext uri="{FF2B5EF4-FFF2-40B4-BE49-F238E27FC236}">
              <a16:creationId xmlns:a16="http://schemas.microsoft.com/office/drawing/2014/main" id="{32FEF6F2-1010-42B5-911F-C549552A88DD}"/>
            </a:ext>
          </a:extLst>
        </xdr:cNvPr>
        <xdr:cNvCxnSpPr/>
      </xdr:nvCxnSpPr>
      <xdr:spPr>
        <a:xfrm flipH="1">
          <a:off x="5187950" y="9874250"/>
          <a:ext cx="4000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22</xdr:row>
      <xdr:rowOff>0</xdr:rowOff>
    </xdr:from>
    <xdr:to>
      <xdr:col>16</xdr:col>
      <xdr:colOff>0</xdr:colOff>
      <xdr:row>24</xdr:row>
      <xdr:rowOff>0</xdr:rowOff>
    </xdr:to>
    <xdr:cxnSp macro="">
      <xdr:nvCxnSpPr>
        <xdr:cNvPr id="15" name="DiagLine14">
          <a:extLst>
            <a:ext uri="{FF2B5EF4-FFF2-40B4-BE49-F238E27FC236}">
              <a16:creationId xmlns:a16="http://schemas.microsoft.com/office/drawing/2014/main" id="{FDB67D0F-F1A3-9CFC-7A9E-DE1A6E5AA29E}"/>
            </a:ext>
          </a:extLst>
        </xdr:cNvPr>
        <xdr:cNvCxnSpPr/>
      </xdr:nvCxnSpPr>
      <xdr:spPr>
        <a:xfrm flipH="1">
          <a:off x="5988050" y="9874250"/>
          <a:ext cx="4000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17</xdr:col>
          <xdr:colOff>69850</xdr:colOff>
          <xdr:row>3</xdr:row>
          <xdr:rowOff>50800</xdr:rowOff>
        </xdr:from>
        <xdr:to>
          <xdr:col>18</xdr:col>
          <xdr:colOff>603250</xdr:colOff>
          <xdr:row>3</xdr:row>
          <xdr:rowOff>355600</xdr:rowOff>
        </xdr:to>
        <xdr:sp macro="" textlink="">
          <xdr:nvSpPr>
            <xdr:cNvPr id="4097" name="Btn_0" hidden="1">
              <a:extLst>
                <a:ext uri="{63B3BB69-23CF-44E3-9099-C40C66FF867C}">
                  <a14:compatExt spid="_x0000_s4097"/>
                </a:ext>
                <a:ext uri="{FF2B5EF4-FFF2-40B4-BE49-F238E27FC236}">
                  <a16:creationId xmlns:a16="http://schemas.microsoft.com/office/drawing/2014/main" id="{00000000-0008-0000-0400-00000110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900" b="0" i="0" u="none" strike="noStrike" baseline="0">
                  <a:solidFill>
                    <a:srgbClr val="000000"/>
                  </a:solidFill>
                  <a:latin typeface="メイリオ"/>
                  <a:ea typeface="メイリオ"/>
                </a:rPr>
                <a:t>新しい週を追加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69850</xdr:colOff>
          <xdr:row>3</xdr:row>
          <xdr:rowOff>450850</xdr:rowOff>
        </xdr:from>
        <xdr:to>
          <xdr:col>18</xdr:col>
          <xdr:colOff>603250</xdr:colOff>
          <xdr:row>4</xdr:row>
          <xdr:rowOff>57150</xdr:rowOff>
        </xdr:to>
        <xdr:sp macro="" textlink="">
          <xdr:nvSpPr>
            <xdr:cNvPr id="4098" name="Btn_1" hidden="1">
              <a:extLst>
                <a:ext uri="{63B3BB69-23CF-44E3-9099-C40C66FF867C}">
                  <a14:compatExt spid="_x0000_s4098"/>
                </a:ext>
                <a:ext uri="{FF2B5EF4-FFF2-40B4-BE49-F238E27FC236}">
                  <a16:creationId xmlns:a16="http://schemas.microsoft.com/office/drawing/2014/main" id="{00000000-0008-0000-0400-00000210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900" b="0" i="0" u="none" strike="noStrike" baseline="0">
                  <a:solidFill>
                    <a:srgbClr val="000000"/>
                  </a:solidFill>
                  <a:latin typeface="メイリオ"/>
                  <a:ea typeface="メイリオ"/>
                </a:rPr>
                <a:t>時間割を再展開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69850</xdr:colOff>
          <xdr:row>4</xdr:row>
          <xdr:rowOff>165100</xdr:rowOff>
        </xdr:from>
        <xdr:to>
          <xdr:col>18</xdr:col>
          <xdr:colOff>603250</xdr:colOff>
          <xdr:row>5</xdr:row>
          <xdr:rowOff>241300</xdr:rowOff>
        </xdr:to>
        <xdr:sp macro="" textlink="">
          <xdr:nvSpPr>
            <xdr:cNvPr id="4099" name="Btn_2" hidden="1">
              <a:extLst>
                <a:ext uri="{63B3BB69-23CF-44E3-9099-C40C66FF867C}">
                  <a14:compatExt spid="_x0000_s4099"/>
                </a:ext>
                <a:ext uri="{FF2B5EF4-FFF2-40B4-BE49-F238E27FC236}">
                  <a16:creationId xmlns:a16="http://schemas.microsoft.com/office/drawing/2014/main" id="{00000000-0008-0000-0400-00000310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900" b="0" i="0" u="none" strike="noStrike" baseline="0">
                  <a:solidFill>
                    <a:srgbClr val="000000"/>
                  </a:solidFill>
                  <a:latin typeface="メイリオ"/>
                  <a:ea typeface="メイリオ"/>
                </a:rPr>
                <a:t>累計を更新</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xdr:col>
      <xdr:colOff>0</xdr:colOff>
      <xdr:row>22</xdr:row>
      <xdr:rowOff>0</xdr:rowOff>
    </xdr:from>
    <xdr:to>
      <xdr:col>2</xdr:col>
      <xdr:colOff>0</xdr:colOff>
      <xdr:row>24</xdr:row>
      <xdr:rowOff>0</xdr:rowOff>
    </xdr:to>
    <xdr:cxnSp macro="">
      <xdr:nvCxnSpPr>
        <xdr:cNvPr id="2" name="DiagLine1">
          <a:extLst>
            <a:ext uri="{FF2B5EF4-FFF2-40B4-BE49-F238E27FC236}">
              <a16:creationId xmlns:a16="http://schemas.microsoft.com/office/drawing/2014/main" id="{E0F04941-D201-778E-E919-121B5D7E3DE8}"/>
            </a:ext>
          </a:extLst>
        </xdr:cNvPr>
        <xdr:cNvCxnSpPr/>
      </xdr:nvCxnSpPr>
      <xdr:spPr>
        <a:xfrm flipH="1">
          <a:off x="41910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22</xdr:row>
      <xdr:rowOff>0</xdr:rowOff>
    </xdr:from>
    <xdr:to>
      <xdr:col>3</xdr:col>
      <xdr:colOff>0</xdr:colOff>
      <xdr:row>24</xdr:row>
      <xdr:rowOff>0</xdr:rowOff>
    </xdr:to>
    <xdr:cxnSp macro="">
      <xdr:nvCxnSpPr>
        <xdr:cNvPr id="3" name="DiagLine2">
          <a:extLst>
            <a:ext uri="{FF2B5EF4-FFF2-40B4-BE49-F238E27FC236}">
              <a16:creationId xmlns:a16="http://schemas.microsoft.com/office/drawing/2014/main" id="{99CB6EC3-AA71-AF51-E0AD-3EB419EA46A3}"/>
            </a:ext>
          </a:extLst>
        </xdr:cNvPr>
        <xdr:cNvCxnSpPr/>
      </xdr:nvCxnSpPr>
      <xdr:spPr>
        <a:xfrm flipH="1">
          <a:off x="85725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22</xdr:row>
      <xdr:rowOff>0</xdr:rowOff>
    </xdr:from>
    <xdr:to>
      <xdr:col>4</xdr:col>
      <xdr:colOff>0</xdr:colOff>
      <xdr:row>24</xdr:row>
      <xdr:rowOff>0</xdr:rowOff>
    </xdr:to>
    <xdr:cxnSp macro="">
      <xdr:nvCxnSpPr>
        <xdr:cNvPr id="4" name="DiagLine3">
          <a:extLst>
            <a:ext uri="{FF2B5EF4-FFF2-40B4-BE49-F238E27FC236}">
              <a16:creationId xmlns:a16="http://schemas.microsoft.com/office/drawing/2014/main" id="{563D9345-D15C-6EAB-1831-CDCF4DBBDA3E}"/>
            </a:ext>
          </a:extLst>
        </xdr:cNvPr>
        <xdr:cNvCxnSpPr/>
      </xdr:nvCxnSpPr>
      <xdr:spPr>
        <a:xfrm flipH="1">
          <a:off x="129540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22</xdr:row>
      <xdr:rowOff>0</xdr:rowOff>
    </xdr:from>
    <xdr:to>
      <xdr:col>5</xdr:col>
      <xdr:colOff>0</xdr:colOff>
      <xdr:row>24</xdr:row>
      <xdr:rowOff>0</xdr:rowOff>
    </xdr:to>
    <xdr:cxnSp macro="">
      <xdr:nvCxnSpPr>
        <xdr:cNvPr id="5" name="DiagLine4">
          <a:extLst>
            <a:ext uri="{FF2B5EF4-FFF2-40B4-BE49-F238E27FC236}">
              <a16:creationId xmlns:a16="http://schemas.microsoft.com/office/drawing/2014/main" id="{5C13572A-DBCE-741D-EF6D-447F5677AE15}"/>
            </a:ext>
          </a:extLst>
        </xdr:cNvPr>
        <xdr:cNvCxnSpPr/>
      </xdr:nvCxnSpPr>
      <xdr:spPr>
        <a:xfrm flipH="1">
          <a:off x="173355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22</xdr:row>
      <xdr:rowOff>0</xdr:rowOff>
    </xdr:from>
    <xdr:to>
      <xdr:col>6</xdr:col>
      <xdr:colOff>0</xdr:colOff>
      <xdr:row>24</xdr:row>
      <xdr:rowOff>0</xdr:rowOff>
    </xdr:to>
    <xdr:cxnSp macro="">
      <xdr:nvCxnSpPr>
        <xdr:cNvPr id="6" name="DiagLine5">
          <a:extLst>
            <a:ext uri="{FF2B5EF4-FFF2-40B4-BE49-F238E27FC236}">
              <a16:creationId xmlns:a16="http://schemas.microsoft.com/office/drawing/2014/main" id="{D5E21877-5BA2-C8C2-34A7-8C02F2A8460D}"/>
            </a:ext>
          </a:extLst>
        </xdr:cNvPr>
        <xdr:cNvCxnSpPr/>
      </xdr:nvCxnSpPr>
      <xdr:spPr>
        <a:xfrm flipH="1">
          <a:off x="217170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22</xdr:row>
      <xdr:rowOff>0</xdr:rowOff>
    </xdr:from>
    <xdr:to>
      <xdr:col>7</xdr:col>
      <xdr:colOff>0</xdr:colOff>
      <xdr:row>24</xdr:row>
      <xdr:rowOff>0</xdr:rowOff>
    </xdr:to>
    <xdr:cxnSp macro="">
      <xdr:nvCxnSpPr>
        <xdr:cNvPr id="7" name="DiagLine6">
          <a:extLst>
            <a:ext uri="{FF2B5EF4-FFF2-40B4-BE49-F238E27FC236}">
              <a16:creationId xmlns:a16="http://schemas.microsoft.com/office/drawing/2014/main" id="{54B35372-B3DB-8955-49F1-8576A9EC96A0}"/>
            </a:ext>
          </a:extLst>
        </xdr:cNvPr>
        <xdr:cNvCxnSpPr/>
      </xdr:nvCxnSpPr>
      <xdr:spPr>
        <a:xfrm flipH="1">
          <a:off x="260985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22</xdr:row>
      <xdr:rowOff>0</xdr:rowOff>
    </xdr:from>
    <xdr:to>
      <xdr:col>8</xdr:col>
      <xdr:colOff>0</xdr:colOff>
      <xdr:row>24</xdr:row>
      <xdr:rowOff>0</xdr:rowOff>
    </xdr:to>
    <xdr:cxnSp macro="">
      <xdr:nvCxnSpPr>
        <xdr:cNvPr id="8" name="DiagLine7">
          <a:extLst>
            <a:ext uri="{FF2B5EF4-FFF2-40B4-BE49-F238E27FC236}">
              <a16:creationId xmlns:a16="http://schemas.microsoft.com/office/drawing/2014/main" id="{D783E5A7-FC93-D582-A217-2DB4B4B7F68E}"/>
            </a:ext>
          </a:extLst>
        </xdr:cNvPr>
        <xdr:cNvCxnSpPr/>
      </xdr:nvCxnSpPr>
      <xdr:spPr>
        <a:xfrm flipH="1">
          <a:off x="304800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22</xdr:row>
      <xdr:rowOff>0</xdr:rowOff>
    </xdr:from>
    <xdr:to>
      <xdr:col>9</xdr:col>
      <xdr:colOff>0</xdr:colOff>
      <xdr:row>24</xdr:row>
      <xdr:rowOff>0</xdr:rowOff>
    </xdr:to>
    <xdr:cxnSp macro="">
      <xdr:nvCxnSpPr>
        <xdr:cNvPr id="9" name="DiagLine8">
          <a:extLst>
            <a:ext uri="{FF2B5EF4-FFF2-40B4-BE49-F238E27FC236}">
              <a16:creationId xmlns:a16="http://schemas.microsoft.com/office/drawing/2014/main" id="{51C15220-395F-8FA0-609F-1AB169B676CD}"/>
            </a:ext>
          </a:extLst>
        </xdr:cNvPr>
        <xdr:cNvCxnSpPr/>
      </xdr:nvCxnSpPr>
      <xdr:spPr>
        <a:xfrm flipH="1">
          <a:off x="348615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22</xdr:row>
      <xdr:rowOff>0</xdr:rowOff>
    </xdr:from>
    <xdr:to>
      <xdr:col>10</xdr:col>
      <xdr:colOff>0</xdr:colOff>
      <xdr:row>24</xdr:row>
      <xdr:rowOff>0</xdr:rowOff>
    </xdr:to>
    <xdr:cxnSp macro="">
      <xdr:nvCxnSpPr>
        <xdr:cNvPr id="10" name="DiagLine9">
          <a:extLst>
            <a:ext uri="{FF2B5EF4-FFF2-40B4-BE49-F238E27FC236}">
              <a16:creationId xmlns:a16="http://schemas.microsoft.com/office/drawing/2014/main" id="{92873724-70DB-0C0B-24D2-D232719DA7EC}"/>
            </a:ext>
          </a:extLst>
        </xdr:cNvPr>
        <xdr:cNvCxnSpPr/>
      </xdr:nvCxnSpPr>
      <xdr:spPr>
        <a:xfrm flipH="1">
          <a:off x="392430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22</xdr:row>
      <xdr:rowOff>0</xdr:rowOff>
    </xdr:from>
    <xdr:to>
      <xdr:col>11</xdr:col>
      <xdr:colOff>0</xdr:colOff>
      <xdr:row>24</xdr:row>
      <xdr:rowOff>0</xdr:rowOff>
    </xdr:to>
    <xdr:cxnSp macro="">
      <xdr:nvCxnSpPr>
        <xdr:cNvPr id="11" name="DiagLine10">
          <a:extLst>
            <a:ext uri="{FF2B5EF4-FFF2-40B4-BE49-F238E27FC236}">
              <a16:creationId xmlns:a16="http://schemas.microsoft.com/office/drawing/2014/main" id="{BF75587C-1CFF-CFA1-89AE-0F8C527F8543}"/>
            </a:ext>
          </a:extLst>
        </xdr:cNvPr>
        <xdr:cNvCxnSpPr/>
      </xdr:nvCxnSpPr>
      <xdr:spPr>
        <a:xfrm flipH="1">
          <a:off x="436245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22</xdr:row>
      <xdr:rowOff>0</xdr:rowOff>
    </xdr:from>
    <xdr:to>
      <xdr:col>12</xdr:col>
      <xdr:colOff>0</xdr:colOff>
      <xdr:row>24</xdr:row>
      <xdr:rowOff>0</xdr:rowOff>
    </xdr:to>
    <xdr:cxnSp macro="">
      <xdr:nvCxnSpPr>
        <xdr:cNvPr id="12" name="DiagLine11">
          <a:extLst>
            <a:ext uri="{FF2B5EF4-FFF2-40B4-BE49-F238E27FC236}">
              <a16:creationId xmlns:a16="http://schemas.microsoft.com/office/drawing/2014/main" id="{6551F77B-BC5E-4C8C-A557-845F2903C6DD}"/>
            </a:ext>
          </a:extLst>
        </xdr:cNvPr>
        <xdr:cNvCxnSpPr/>
      </xdr:nvCxnSpPr>
      <xdr:spPr>
        <a:xfrm flipH="1">
          <a:off x="480060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22</xdr:row>
      <xdr:rowOff>0</xdr:rowOff>
    </xdr:from>
    <xdr:to>
      <xdr:col>13</xdr:col>
      <xdr:colOff>0</xdr:colOff>
      <xdr:row>24</xdr:row>
      <xdr:rowOff>0</xdr:rowOff>
    </xdr:to>
    <xdr:cxnSp macro="">
      <xdr:nvCxnSpPr>
        <xdr:cNvPr id="13" name="DiagLine12">
          <a:extLst>
            <a:ext uri="{FF2B5EF4-FFF2-40B4-BE49-F238E27FC236}">
              <a16:creationId xmlns:a16="http://schemas.microsoft.com/office/drawing/2014/main" id="{E29AEFB2-D99E-CC52-3E78-C3F65E63142B}"/>
            </a:ext>
          </a:extLst>
        </xdr:cNvPr>
        <xdr:cNvCxnSpPr/>
      </xdr:nvCxnSpPr>
      <xdr:spPr>
        <a:xfrm flipH="1">
          <a:off x="523875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22</xdr:row>
      <xdr:rowOff>0</xdr:rowOff>
    </xdr:from>
    <xdr:to>
      <xdr:col>14</xdr:col>
      <xdr:colOff>0</xdr:colOff>
      <xdr:row>24</xdr:row>
      <xdr:rowOff>0</xdr:rowOff>
    </xdr:to>
    <xdr:cxnSp macro="">
      <xdr:nvCxnSpPr>
        <xdr:cNvPr id="14" name="DiagLine13">
          <a:extLst>
            <a:ext uri="{FF2B5EF4-FFF2-40B4-BE49-F238E27FC236}">
              <a16:creationId xmlns:a16="http://schemas.microsoft.com/office/drawing/2014/main" id="{EFE0A345-1914-B7B8-AA9D-0A340310F880}"/>
            </a:ext>
          </a:extLst>
        </xdr:cNvPr>
        <xdr:cNvCxnSpPr/>
      </xdr:nvCxnSpPr>
      <xdr:spPr>
        <a:xfrm flipH="1">
          <a:off x="567690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22</xdr:row>
      <xdr:rowOff>0</xdr:rowOff>
    </xdr:from>
    <xdr:to>
      <xdr:col>16</xdr:col>
      <xdr:colOff>0</xdr:colOff>
      <xdr:row>24</xdr:row>
      <xdr:rowOff>0</xdr:rowOff>
    </xdr:to>
    <xdr:cxnSp macro="">
      <xdr:nvCxnSpPr>
        <xdr:cNvPr id="15" name="DiagLine14">
          <a:extLst>
            <a:ext uri="{FF2B5EF4-FFF2-40B4-BE49-F238E27FC236}">
              <a16:creationId xmlns:a16="http://schemas.microsoft.com/office/drawing/2014/main" id="{3E252ABD-9DF1-CCA0-641B-289AAC5B1976}"/>
            </a:ext>
          </a:extLst>
        </xdr:cNvPr>
        <xdr:cNvCxnSpPr/>
      </xdr:nvCxnSpPr>
      <xdr:spPr>
        <a:xfrm flipH="1">
          <a:off x="655320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17</xdr:col>
          <xdr:colOff>57150</xdr:colOff>
          <xdr:row>3</xdr:row>
          <xdr:rowOff>31750</xdr:rowOff>
        </xdr:from>
        <xdr:to>
          <xdr:col>18</xdr:col>
          <xdr:colOff>533400</xdr:colOff>
          <xdr:row>3</xdr:row>
          <xdr:rowOff>336550</xdr:rowOff>
        </xdr:to>
        <xdr:sp macro="" textlink="">
          <xdr:nvSpPr>
            <xdr:cNvPr id="7169" name="Btn_0" hidden="1">
              <a:extLst>
                <a:ext uri="{63B3BB69-23CF-44E3-9099-C40C66FF867C}">
                  <a14:compatExt spid="_x0000_s7169"/>
                </a:ext>
                <a:ext uri="{FF2B5EF4-FFF2-40B4-BE49-F238E27FC236}">
                  <a16:creationId xmlns:a16="http://schemas.microsoft.com/office/drawing/2014/main" id="{00000000-0008-0000-0500-0000011C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900" b="0" i="0" u="none" strike="noStrike" baseline="0">
                  <a:solidFill>
                    <a:srgbClr val="000000"/>
                  </a:solidFill>
                  <a:latin typeface="メイリオ"/>
                  <a:ea typeface="メイリオ"/>
                </a:rPr>
                <a:t>新しい週を追加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57150</xdr:colOff>
          <xdr:row>3</xdr:row>
          <xdr:rowOff>438150</xdr:rowOff>
        </xdr:from>
        <xdr:to>
          <xdr:col>18</xdr:col>
          <xdr:colOff>533400</xdr:colOff>
          <xdr:row>4</xdr:row>
          <xdr:rowOff>50800</xdr:rowOff>
        </xdr:to>
        <xdr:sp macro="" textlink="">
          <xdr:nvSpPr>
            <xdr:cNvPr id="7170" name="Btn_1" hidden="1">
              <a:extLst>
                <a:ext uri="{63B3BB69-23CF-44E3-9099-C40C66FF867C}">
                  <a14:compatExt spid="_x0000_s7170"/>
                </a:ext>
                <a:ext uri="{FF2B5EF4-FFF2-40B4-BE49-F238E27FC236}">
                  <a16:creationId xmlns:a16="http://schemas.microsoft.com/office/drawing/2014/main" id="{00000000-0008-0000-0500-0000021C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900" b="0" i="0" u="none" strike="noStrike" baseline="0">
                  <a:solidFill>
                    <a:srgbClr val="000000"/>
                  </a:solidFill>
                  <a:latin typeface="メイリオ"/>
                  <a:ea typeface="メイリオ"/>
                </a:rPr>
                <a:t>時間割を再展開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57150</xdr:colOff>
          <xdr:row>4</xdr:row>
          <xdr:rowOff>146050</xdr:rowOff>
        </xdr:from>
        <xdr:to>
          <xdr:col>18</xdr:col>
          <xdr:colOff>533400</xdr:colOff>
          <xdr:row>5</xdr:row>
          <xdr:rowOff>222250</xdr:rowOff>
        </xdr:to>
        <xdr:sp macro="" textlink="">
          <xdr:nvSpPr>
            <xdr:cNvPr id="7171" name="Btn_2" hidden="1">
              <a:extLst>
                <a:ext uri="{63B3BB69-23CF-44E3-9099-C40C66FF867C}">
                  <a14:compatExt spid="_x0000_s7171"/>
                </a:ext>
                <a:ext uri="{FF2B5EF4-FFF2-40B4-BE49-F238E27FC236}">
                  <a16:creationId xmlns:a16="http://schemas.microsoft.com/office/drawing/2014/main" id="{00000000-0008-0000-0500-0000031C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900" b="0" i="0" u="none" strike="noStrike" baseline="0">
                  <a:solidFill>
                    <a:srgbClr val="000000"/>
                  </a:solidFill>
                  <a:latin typeface="メイリオ"/>
                  <a:ea typeface="メイリオ"/>
                </a:rPr>
                <a:t>累計を更新</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35"/>
  <sheetViews>
    <sheetView workbookViewId="0">
      <selection activeCell="B35" sqref="B35"/>
    </sheetView>
  </sheetViews>
  <sheetFormatPr defaultColWidth="8.7265625" defaultRowHeight="13" x14ac:dyDescent="0.2"/>
  <cols>
    <col min="1" max="1" width="18" customWidth="1"/>
    <col min="2" max="2" width="12" customWidth="1"/>
    <col min="3" max="3" width="28" customWidth="1"/>
  </cols>
  <sheetData>
    <row r="1" spans="1:3" ht="16" x14ac:dyDescent="0.2">
      <c r="A1" s="27" t="s">
        <v>0</v>
      </c>
      <c r="B1" s="27" t="s">
        <v>1</v>
      </c>
      <c r="C1" s="27" t="s">
        <v>2</v>
      </c>
    </row>
    <row r="2" spans="1:3" ht="16.5" x14ac:dyDescent="0.55000000000000004">
      <c r="A2" s="28" t="s">
        <v>3</v>
      </c>
      <c r="B2" s="1" t="s">
        <v>4</v>
      </c>
      <c r="C2" s="29" t="s">
        <v>5</v>
      </c>
    </row>
    <row r="3" spans="1:3" ht="16.5" x14ac:dyDescent="0.55000000000000004">
      <c r="A3" s="28" t="s">
        <v>6</v>
      </c>
      <c r="B3" s="1" t="s">
        <v>7</v>
      </c>
      <c r="C3" s="29" t="s">
        <v>8</v>
      </c>
    </row>
    <row r="5" spans="1:3" ht="16.5" x14ac:dyDescent="0.55000000000000004">
      <c r="A5" s="30" t="s">
        <v>9</v>
      </c>
    </row>
    <row r="6" spans="1:3" ht="16.5" x14ac:dyDescent="0.55000000000000004">
      <c r="A6" s="28" t="s">
        <v>10</v>
      </c>
      <c r="B6" s="2" t="s">
        <v>32</v>
      </c>
    </row>
    <row r="7" spans="1:3" ht="16.5" x14ac:dyDescent="0.55000000000000004">
      <c r="A7" s="28" t="s">
        <v>11</v>
      </c>
      <c r="B7" s="2" t="s">
        <v>33</v>
      </c>
    </row>
    <row r="8" spans="1:3" ht="16.5" x14ac:dyDescent="0.55000000000000004">
      <c r="A8" s="28" t="s">
        <v>12</v>
      </c>
      <c r="B8" s="2" t="s">
        <v>34</v>
      </c>
    </row>
    <row r="9" spans="1:3" ht="16.5" x14ac:dyDescent="0.55000000000000004">
      <c r="A9" s="28" t="s">
        <v>13</v>
      </c>
      <c r="B9" s="2" t="s">
        <v>35</v>
      </c>
    </row>
    <row r="10" spans="1:3" ht="16.5" x14ac:dyDescent="0.55000000000000004">
      <c r="A10" s="28" t="s">
        <v>14</v>
      </c>
      <c r="B10" s="2" t="s">
        <v>36</v>
      </c>
    </row>
    <row r="11" spans="1:3" ht="16.5" x14ac:dyDescent="0.55000000000000004">
      <c r="A11" s="28" t="s">
        <v>15</v>
      </c>
      <c r="B11" s="3" t="s">
        <v>37</v>
      </c>
    </row>
    <row r="12" spans="1:3" ht="16.5" x14ac:dyDescent="0.55000000000000004">
      <c r="A12" s="28" t="s">
        <v>16</v>
      </c>
      <c r="B12" s="3"/>
    </row>
    <row r="13" spans="1:3" ht="16.5" x14ac:dyDescent="0.55000000000000004">
      <c r="A13" s="28" t="s">
        <v>17</v>
      </c>
      <c r="B13" s="3"/>
    </row>
    <row r="14" spans="1:3" ht="16.5" x14ac:dyDescent="0.55000000000000004">
      <c r="B14" s="3" t="s">
        <v>136</v>
      </c>
    </row>
    <row r="15" spans="1:3" ht="16.5" x14ac:dyDescent="0.55000000000000004">
      <c r="A15" s="30" t="s">
        <v>18</v>
      </c>
    </row>
    <row r="16" spans="1:3" ht="16.5" x14ac:dyDescent="0.55000000000000004">
      <c r="A16" s="28" t="s">
        <v>19</v>
      </c>
      <c r="B16" s="2" t="s">
        <v>20</v>
      </c>
      <c r="C16" s="29" t="s">
        <v>21</v>
      </c>
    </row>
    <row r="17" spans="1:3" ht="16.5" x14ac:dyDescent="0.55000000000000004">
      <c r="A17" s="28" t="s">
        <v>22</v>
      </c>
      <c r="B17" s="2" t="s">
        <v>23</v>
      </c>
    </row>
    <row r="18" spans="1:3" ht="16.5" x14ac:dyDescent="0.55000000000000004">
      <c r="A18" s="28" t="s">
        <v>24</v>
      </c>
      <c r="B18" s="2" t="s">
        <v>25</v>
      </c>
    </row>
    <row r="19" spans="1:3" ht="16.5" x14ac:dyDescent="0.55000000000000004">
      <c r="A19" s="28" t="s">
        <v>26</v>
      </c>
      <c r="B19" s="3" t="s">
        <v>27</v>
      </c>
    </row>
    <row r="20" spans="1:3" ht="16.5" x14ac:dyDescent="0.55000000000000004">
      <c r="A20" s="28" t="s">
        <v>28</v>
      </c>
      <c r="B20" s="3"/>
    </row>
    <row r="22" spans="1:3" ht="16.5" x14ac:dyDescent="0.55000000000000004">
      <c r="A22" s="30" t="s">
        <v>29</v>
      </c>
      <c r="C22" s="29" t="s">
        <v>30</v>
      </c>
    </row>
    <row r="23" spans="1:3" ht="16.5" x14ac:dyDescent="0.55000000000000004">
      <c r="A23" s="31" t="str">
        <f t="shared" ref="A23:A30" si="0">IF(B6="","",B6)</f>
        <v>2-1</v>
      </c>
      <c r="B23" s="4">
        <v>4</v>
      </c>
    </row>
    <row r="24" spans="1:3" ht="16.5" x14ac:dyDescent="0.55000000000000004">
      <c r="A24" s="31" t="str">
        <f t="shared" si="0"/>
        <v>2-4</v>
      </c>
      <c r="B24" s="4">
        <v>4</v>
      </c>
    </row>
    <row r="25" spans="1:3" ht="16.5" x14ac:dyDescent="0.55000000000000004">
      <c r="A25" s="31" t="str">
        <f t="shared" si="0"/>
        <v>3-5</v>
      </c>
      <c r="B25" s="4">
        <v>4</v>
      </c>
    </row>
    <row r="26" spans="1:3" ht="16.5" x14ac:dyDescent="0.55000000000000004">
      <c r="A26" s="31" t="str">
        <f t="shared" si="0"/>
        <v>2-2数t</v>
      </c>
      <c r="B26" s="4">
        <v>1</v>
      </c>
    </row>
    <row r="27" spans="1:3" ht="16.5" x14ac:dyDescent="0.55000000000000004">
      <c r="A27" s="31" t="str">
        <f t="shared" si="0"/>
        <v>2-3数t</v>
      </c>
      <c r="B27" s="4">
        <v>1</v>
      </c>
    </row>
    <row r="28" spans="1:3" ht="16.5" x14ac:dyDescent="0.55000000000000004">
      <c r="A28" s="31" t="str">
        <f t="shared" si="0"/>
        <v>2-5数t</v>
      </c>
      <c r="B28" s="4">
        <v>1</v>
      </c>
      <c r="C28" s="29"/>
    </row>
    <row r="29" spans="1:3" ht="16.5" x14ac:dyDescent="0.55000000000000004">
      <c r="A29" s="31" t="str">
        <f t="shared" si="0"/>
        <v/>
      </c>
      <c r="B29" s="4"/>
    </row>
    <row r="30" spans="1:3" ht="16.5" x14ac:dyDescent="0.55000000000000004">
      <c r="A30" s="31" t="str">
        <f t="shared" si="0"/>
        <v/>
      </c>
      <c r="B30" s="4"/>
    </row>
    <row r="31" spans="1:3" ht="16.5" x14ac:dyDescent="0.55000000000000004">
      <c r="A31" s="31" t="str">
        <f>IF(B16="","",B16)</f>
        <v>特活</v>
      </c>
      <c r="B31" s="4"/>
    </row>
    <row r="32" spans="1:3" ht="16.5" x14ac:dyDescent="0.55000000000000004">
      <c r="A32" s="31" t="str">
        <f>IF(B17="","",B17)</f>
        <v>学活</v>
      </c>
      <c r="B32" s="4">
        <v>1</v>
      </c>
    </row>
    <row r="33" spans="1:3" ht="16.5" x14ac:dyDescent="0.55000000000000004">
      <c r="A33" s="31" t="str">
        <f>IF(B18="","",B18)</f>
        <v>道徳</v>
      </c>
      <c r="B33" s="4">
        <v>1</v>
      </c>
    </row>
    <row r="34" spans="1:3" ht="16.5" x14ac:dyDescent="0.55000000000000004">
      <c r="A34" s="31" t="str">
        <f>IF(B19="","",B19)</f>
        <v>総合</v>
      </c>
      <c r="B34" s="4">
        <v>2</v>
      </c>
    </row>
    <row r="35" spans="1:3" ht="16.5" x14ac:dyDescent="0.55000000000000004">
      <c r="A35" s="31" t="str">
        <f>IF(B20="","",B20)</f>
        <v/>
      </c>
      <c r="B35" s="4"/>
      <c r="C35" s="29" t="s">
        <v>31</v>
      </c>
    </row>
  </sheetData>
  <sheetProtection sheet="1" objects="1" scenarios="1"/>
  <phoneticPr fontId="5"/>
  <pageMargins left="0.75" right="0.75" top="1" bottom="1" header="0.5" footer="0.5"/>
  <drawing r:id="rId1"/>
  <legacyDrawing r:id="rId2"/>
  <mc:AlternateContent xmlns:mc="http://schemas.openxmlformats.org/markup-compatibility/2006">
    <mc:Choice Requires="x14">
      <controls>
        <mc:AlternateContent xmlns:mc="http://schemas.openxmlformats.org/markup-compatibility/2006">
          <mc:Choice Requires="x14">
            <control shapeId="2049" r:id="rId3" name="BtnSetup">
              <controlPr defaultSize="0" print="0" autoFill="0" autoPict="0" macro="[0]!ボタン_設定完了">
                <anchor moveWithCells="1" sizeWithCells="1">
                  <from>
                    <xdr:col>4</xdr:col>
                    <xdr:colOff>95250</xdr:colOff>
                    <xdr:row>33</xdr:row>
                    <xdr:rowOff>114300</xdr:rowOff>
                  </from>
                  <to>
                    <xdr:col>6</xdr:col>
                    <xdr:colOff>438150</xdr:colOff>
                    <xdr:row>34</xdr:row>
                    <xdr:rowOff>190500</xdr:rowOff>
                  </to>
                </anchor>
              </controlPr>
            </control>
          </mc:Choice>
        </mc:AlternateContent>
        <mc:AlternateContent xmlns:mc="http://schemas.openxmlformats.org/markup-compatibility/2006">
          <mc:Choice Requires="x14">
            <control shapeId="2050" r:id="rId4" name="Auto_0">
              <controlPr defaultSize="0" print="0" autoFill="0" autoPict="0" macro="[0]!ボタン_新しい週">
                <anchor moveWithCells="1" sizeWithCells="1">
                  <from>
                    <xdr:col>4</xdr:col>
                    <xdr:colOff>69850</xdr:colOff>
                    <xdr:row>1</xdr:row>
                    <xdr:rowOff>38100</xdr:rowOff>
                  </from>
                  <to>
                    <xdr:col>6</xdr:col>
                    <xdr:colOff>374650</xdr:colOff>
                    <xdr:row>2</xdr:row>
                    <xdr:rowOff>107950</xdr:rowOff>
                  </to>
                </anchor>
              </controlPr>
            </control>
          </mc:Choice>
        </mc:AlternateContent>
        <mc:AlternateContent xmlns:mc="http://schemas.openxmlformats.org/markup-compatibility/2006">
          <mc:Choice Requires="x14">
            <control shapeId="2051" r:id="rId5" name="Auto_1">
              <controlPr defaultSize="0" print="0" autoFill="0" autoPict="0" macro="[0]!ボタン_1学期PDF">
                <anchor moveWithCells="1" sizeWithCells="1">
                  <from>
                    <xdr:col>4</xdr:col>
                    <xdr:colOff>69850</xdr:colOff>
                    <xdr:row>3</xdr:row>
                    <xdr:rowOff>38100</xdr:rowOff>
                  </from>
                  <to>
                    <xdr:col>6</xdr:col>
                    <xdr:colOff>374650</xdr:colOff>
                    <xdr:row>4</xdr:row>
                    <xdr:rowOff>152400</xdr:rowOff>
                  </to>
                </anchor>
              </controlPr>
            </control>
          </mc:Choice>
        </mc:AlternateContent>
        <mc:AlternateContent xmlns:mc="http://schemas.openxmlformats.org/markup-compatibility/2006">
          <mc:Choice Requires="x14">
            <control shapeId="2052" r:id="rId6" name="Auto_2">
              <controlPr defaultSize="0" print="0" autoFill="0" autoPict="0" macro="[0]!ボタン_2学期PDF">
                <anchor moveWithCells="1" sizeWithCells="1">
                  <from>
                    <xdr:col>4</xdr:col>
                    <xdr:colOff>69850</xdr:colOff>
                    <xdr:row>5</xdr:row>
                    <xdr:rowOff>50800</xdr:rowOff>
                  </from>
                  <to>
                    <xdr:col>6</xdr:col>
                    <xdr:colOff>374650</xdr:colOff>
                    <xdr:row>6</xdr:row>
                    <xdr:rowOff>114300</xdr:rowOff>
                  </to>
                </anchor>
              </controlPr>
            </control>
          </mc:Choice>
        </mc:AlternateContent>
        <mc:AlternateContent xmlns:mc="http://schemas.openxmlformats.org/markup-compatibility/2006">
          <mc:Choice Requires="x14">
            <control shapeId="2053" r:id="rId7" name="Auto_3">
              <controlPr defaultSize="0" print="0" autoFill="0" autoPict="0" macro="[0]!ボタン_3学期PDF">
                <anchor moveWithCells="1" sizeWithCells="1">
                  <from>
                    <xdr:col>4</xdr:col>
                    <xdr:colOff>69850</xdr:colOff>
                    <xdr:row>7</xdr:row>
                    <xdr:rowOff>31750</xdr:rowOff>
                  </from>
                  <to>
                    <xdr:col>6</xdr:col>
                    <xdr:colOff>374650</xdr:colOff>
                    <xdr:row>8</xdr:row>
                    <xdr:rowOff>107950</xdr:rowOff>
                  </to>
                </anchor>
              </controlPr>
            </control>
          </mc:Choice>
        </mc:AlternateContent>
        <mc:AlternateContent xmlns:mc="http://schemas.openxmlformats.org/markup-compatibility/2006">
          <mc:Choice Requires="x14">
            <control shapeId="2054" r:id="rId8" name="Auto_4">
              <controlPr defaultSize="0" print="0" autoFill="0" autoPict="0" macro="[0]!ボタン_次年度">
                <anchor moveWithCells="1" sizeWithCells="1">
                  <from>
                    <xdr:col>4</xdr:col>
                    <xdr:colOff>69850</xdr:colOff>
                    <xdr:row>9</xdr:row>
                    <xdr:rowOff>50800</xdr:rowOff>
                  </from>
                  <to>
                    <xdr:col>6</xdr:col>
                    <xdr:colOff>374650</xdr:colOff>
                    <xdr:row>10</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49D483-9144-4B6A-8301-12526A8D9CC6}">
  <sheetPr>
    <tabColor rgb="FF1E8449"/>
  </sheetPr>
  <dimension ref="A1:F9"/>
  <sheetViews>
    <sheetView workbookViewId="0">
      <selection activeCell="F16" sqref="F16"/>
    </sheetView>
  </sheetViews>
  <sheetFormatPr defaultColWidth="8.7265625" defaultRowHeight="13" x14ac:dyDescent="0.2"/>
  <cols>
    <col min="1" max="1" width="6.6328125" customWidth="1"/>
    <col min="2" max="6" width="10.6328125" customWidth="1"/>
  </cols>
  <sheetData>
    <row r="1" spans="1:6" ht="18" customHeight="1" x14ac:dyDescent="0.2">
      <c r="A1" s="59" t="s">
        <v>38</v>
      </c>
      <c r="B1" s="60"/>
      <c r="C1" s="60"/>
      <c r="D1" s="60"/>
      <c r="E1" s="60"/>
      <c r="F1" s="60"/>
    </row>
    <row r="2" spans="1:6" ht="20.149999999999999" customHeight="1" x14ac:dyDescent="0.55000000000000004">
      <c r="A2" s="5" t="s">
        <v>39</v>
      </c>
      <c r="B2" s="5" t="s">
        <v>40</v>
      </c>
      <c r="C2" s="5" t="s">
        <v>41</v>
      </c>
      <c r="D2" s="5" t="s">
        <v>42</v>
      </c>
      <c r="E2" s="5" t="s">
        <v>43</v>
      </c>
      <c r="F2" s="5" t="s">
        <v>44</v>
      </c>
    </row>
    <row r="3" spans="1:6" ht="22" customHeight="1" x14ac:dyDescent="0.55000000000000004">
      <c r="A3" s="6">
        <v>1</v>
      </c>
      <c r="B3" s="7" t="s">
        <v>104</v>
      </c>
      <c r="C3" s="7"/>
      <c r="D3" s="7" t="s">
        <v>104</v>
      </c>
      <c r="E3" s="7" t="s">
        <v>99</v>
      </c>
      <c r="F3" s="7" t="s">
        <v>104</v>
      </c>
    </row>
    <row r="4" spans="1:6" ht="22" customHeight="1" x14ac:dyDescent="0.55000000000000004">
      <c r="A4" s="6">
        <v>2</v>
      </c>
      <c r="B4" s="7" t="s">
        <v>120</v>
      </c>
      <c r="C4" s="7" t="s">
        <v>99</v>
      </c>
      <c r="D4" s="7"/>
      <c r="E4" s="7"/>
      <c r="F4" s="7" t="s">
        <v>100</v>
      </c>
    </row>
    <row r="5" spans="1:6" ht="22" customHeight="1" x14ac:dyDescent="0.55000000000000004">
      <c r="A5" s="6">
        <v>3</v>
      </c>
      <c r="B5" s="7"/>
      <c r="C5" s="7"/>
      <c r="D5" s="7"/>
      <c r="E5" s="7" t="s">
        <v>35</v>
      </c>
      <c r="F5" s="7" t="s">
        <v>105</v>
      </c>
    </row>
    <row r="6" spans="1:6" ht="22" customHeight="1" x14ac:dyDescent="0.55000000000000004">
      <c r="A6" s="6">
        <v>4</v>
      </c>
      <c r="B6" s="7" t="s">
        <v>100</v>
      </c>
      <c r="C6" s="7" t="s">
        <v>100</v>
      </c>
      <c r="D6" s="7" t="s">
        <v>99</v>
      </c>
      <c r="E6" s="7" t="s">
        <v>104</v>
      </c>
      <c r="F6" s="7"/>
    </row>
    <row r="7" spans="1:6" ht="22" customHeight="1" x14ac:dyDescent="0.55000000000000004">
      <c r="A7" s="6">
        <v>5</v>
      </c>
      <c r="B7" s="7"/>
      <c r="C7" s="7" t="s">
        <v>27</v>
      </c>
      <c r="D7" s="7"/>
      <c r="E7" s="7" t="s">
        <v>25</v>
      </c>
      <c r="F7" s="7"/>
    </row>
    <row r="8" spans="1:6" ht="22" customHeight="1" x14ac:dyDescent="0.55000000000000004">
      <c r="A8" s="6">
        <v>6</v>
      </c>
      <c r="B8" s="7" t="s">
        <v>23</v>
      </c>
      <c r="C8" s="7" t="s">
        <v>27</v>
      </c>
      <c r="D8" s="7" t="s">
        <v>100</v>
      </c>
      <c r="E8" s="7"/>
      <c r="F8" s="7" t="s">
        <v>99</v>
      </c>
    </row>
    <row r="9" spans="1:6" ht="22" customHeight="1" x14ac:dyDescent="0.55000000000000004">
      <c r="A9" s="6">
        <v>7</v>
      </c>
      <c r="B9" s="7"/>
      <c r="C9" s="7"/>
      <c r="D9" s="7"/>
      <c r="E9" s="7"/>
      <c r="F9" s="7"/>
    </row>
  </sheetData>
  <sheetProtection sheet="1" objects="1" scenarios="1"/>
  <mergeCells count="1">
    <mergeCell ref="A1:F1"/>
  </mergeCells>
  <phoneticPr fontId="5"/>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xr:uid="{78DC33C7-AC46-44E2-9417-B3E6014DF859}">
          <x14:formula1>
            <xm:f>基本設定!$B$6:$B$20</xm:f>
          </x14:formula1>
          <xm:sqref>B3:F9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69E4B6-B911-4573-B9ED-E73FCE22F7A6}">
  <sheetPr>
    <tabColor rgb="FFC0392B"/>
    <pageSetUpPr fitToPage="1"/>
  </sheetPr>
  <dimension ref="A1:P25"/>
  <sheetViews>
    <sheetView workbookViewId="0">
      <selection sqref="A1:G1"/>
    </sheetView>
  </sheetViews>
  <sheetFormatPr defaultColWidth="8.7265625" defaultRowHeight="13" x14ac:dyDescent="0.2"/>
  <cols>
    <col min="1" max="1" width="5.453125" customWidth="1"/>
    <col min="2" max="16" width="5.7265625" customWidth="1"/>
  </cols>
  <sheetData>
    <row r="1" spans="1:16" ht="50.15" customHeight="1" x14ac:dyDescent="0.2">
      <c r="A1" s="49" t="s">
        <v>45</v>
      </c>
      <c r="B1" s="50"/>
      <c r="C1" s="50"/>
      <c r="D1" s="50"/>
      <c r="E1" s="50"/>
      <c r="F1" s="50"/>
      <c r="G1" s="50"/>
      <c r="H1" s="8" t="s">
        <v>46</v>
      </c>
      <c r="I1" s="51" t="s">
        <v>47</v>
      </c>
      <c r="J1" s="52"/>
      <c r="K1" s="51" t="s">
        <v>48</v>
      </c>
      <c r="L1" s="52"/>
      <c r="M1" s="51" t="s">
        <v>49</v>
      </c>
      <c r="N1" s="52"/>
      <c r="O1" s="51" t="s">
        <v>50</v>
      </c>
      <c r="P1" s="52"/>
    </row>
    <row r="2" spans="1:16" ht="15.65" customHeight="1" x14ac:dyDescent="0.2">
      <c r="A2" s="53" t="s">
        <v>51</v>
      </c>
      <c r="B2" s="55" t="s">
        <v>40</v>
      </c>
      <c r="C2" s="55"/>
      <c r="D2" s="55"/>
      <c r="E2" s="56" t="s">
        <v>41</v>
      </c>
      <c r="F2" s="56"/>
      <c r="G2" s="56"/>
      <c r="H2" s="57" t="s">
        <v>42</v>
      </c>
      <c r="I2" s="57"/>
      <c r="J2" s="57"/>
      <c r="K2" s="58" t="s">
        <v>43</v>
      </c>
      <c r="L2" s="58"/>
      <c r="M2" s="58"/>
      <c r="N2" s="38" t="s">
        <v>44</v>
      </c>
      <c r="O2" s="38"/>
      <c r="P2" s="38"/>
    </row>
    <row r="3" spans="1:16" ht="15" customHeight="1" x14ac:dyDescent="0.2">
      <c r="A3" s="54"/>
      <c r="B3" s="39" t="s">
        <v>52</v>
      </c>
      <c r="C3" s="39"/>
      <c r="D3" s="39"/>
      <c r="E3" s="40" t="s">
        <v>53</v>
      </c>
      <c r="F3" s="40"/>
      <c r="G3" s="40"/>
      <c r="H3" s="41" t="s">
        <v>54</v>
      </c>
      <c r="I3" s="41"/>
      <c r="J3" s="41"/>
      <c r="K3" s="42" t="s">
        <v>55</v>
      </c>
      <c r="L3" s="42"/>
      <c r="M3" s="42"/>
      <c r="N3" s="43" t="s">
        <v>56</v>
      </c>
      <c r="O3" s="43"/>
      <c r="P3" s="43"/>
    </row>
    <row r="4" spans="1:16" ht="55" customHeight="1" x14ac:dyDescent="0.2">
      <c r="A4" s="9" t="s">
        <v>57</v>
      </c>
      <c r="B4" s="44"/>
      <c r="C4" s="44"/>
      <c r="D4" s="44"/>
      <c r="E4" s="45"/>
      <c r="F4" s="45"/>
      <c r="G4" s="45"/>
      <c r="H4" s="46"/>
      <c r="I4" s="46"/>
      <c r="J4" s="46"/>
      <c r="K4" s="47"/>
      <c r="L4" s="47"/>
      <c r="M4" s="47"/>
      <c r="N4" s="48"/>
      <c r="O4" s="48"/>
      <c r="P4" s="48"/>
    </row>
    <row r="5" spans="1:16" ht="18" customHeight="1" x14ac:dyDescent="0.2">
      <c r="A5" s="37">
        <v>1</v>
      </c>
      <c r="B5" s="35"/>
      <c r="C5" s="35"/>
      <c r="D5" s="25"/>
      <c r="E5" s="35"/>
      <c r="F5" s="35"/>
      <c r="G5" s="25"/>
      <c r="H5" s="35"/>
      <c r="I5" s="35"/>
      <c r="J5" s="25"/>
      <c r="K5" s="35"/>
      <c r="L5" s="35"/>
      <c r="M5" s="25"/>
      <c r="N5" s="35"/>
      <c r="O5" s="35"/>
      <c r="P5" s="25"/>
    </row>
    <row r="6" spans="1:16" ht="62.15" customHeight="1" x14ac:dyDescent="0.2">
      <c r="A6" s="37"/>
      <c r="B6" s="36"/>
      <c r="C6" s="36"/>
      <c r="D6" s="36"/>
      <c r="E6" s="36"/>
      <c r="F6" s="36"/>
      <c r="G6" s="36"/>
      <c r="H6" s="36"/>
      <c r="I6" s="36"/>
      <c r="J6" s="36"/>
      <c r="K6" s="36"/>
      <c r="L6" s="36"/>
      <c r="M6" s="36"/>
      <c r="N6" s="36"/>
      <c r="O6" s="36"/>
      <c r="P6" s="36"/>
    </row>
    <row r="7" spans="1:16" ht="18" customHeight="1" x14ac:dyDescent="0.2">
      <c r="A7" s="37">
        <v>2</v>
      </c>
      <c r="B7" s="35"/>
      <c r="C7" s="35"/>
      <c r="D7" s="25"/>
      <c r="E7" s="35"/>
      <c r="F7" s="35"/>
      <c r="G7" s="25"/>
      <c r="H7" s="35"/>
      <c r="I7" s="35"/>
      <c r="J7" s="25"/>
      <c r="K7" s="35"/>
      <c r="L7" s="35"/>
      <c r="M7" s="25"/>
      <c r="N7" s="35"/>
      <c r="O7" s="35"/>
      <c r="P7" s="25"/>
    </row>
    <row r="8" spans="1:16" ht="62.15" customHeight="1" x14ac:dyDescent="0.2">
      <c r="A8" s="37"/>
      <c r="B8" s="36"/>
      <c r="C8" s="36"/>
      <c r="D8" s="36"/>
      <c r="E8" s="36"/>
      <c r="F8" s="36"/>
      <c r="G8" s="36"/>
      <c r="H8" s="36"/>
      <c r="I8" s="36"/>
      <c r="J8" s="36"/>
      <c r="K8" s="36"/>
      <c r="L8" s="36"/>
      <c r="M8" s="36"/>
      <c r="N8" s="36"/>
      <c r="O8" s="36"/>
      <c r="P8" s="36"/>
    </row>
    <row r="9" spans="1:16" ht="18" customHeight="1" x14ac:dyDescent="0.2">
      <c r="A9" s="37">
        <v>3</v>
      </c>
      <c r="B9" s="35"/>
      <c r="C9" s="35"/>
      <c r="D9" s="25"/>
      <c r="E9" s="35"/>
      <c r="F9" s="35"/>
      <c r="G9" s="25"/>
      <c r="H9" s="35"/>
      <c r="I9" s="35"/>
      <c r="J9" s="25"/>
      <c r="K9" s="35"/>
      <c r="L9" s="35"/>
      <c r="M9" s="25"/>
      <c r="N9" s="35"/>
      <c r="O9" s="35"/>
      <c r="P9" s="25"/>
    </row>
    <row r="10" spans="1:16" ht="62.15" customHeight="1" x14ac:dyDescent="0.2">
      <c r="A10" s="37"/>
      <c r="B10" s="36"/>
      <c r="C10" s="36"/>
      <c r="D10" s="36"/>
      <c r="E10" s="36"/>
      <c r="F10" s="36"/>
      <c r="G10" s="36"/>
      <c r="H10" s="36"/>
      <c r="I10" s="36"/>
      <c r="J10" s="36"/>
      <c r="K10" s="36"/>
      <c r="L10" s="36"/>
      <c r="M10" s="36"/>
      <c r="N10" s="36"/>
      <c r="O10" s="36"/>
      <c r="P10" s="36"/>
    </row>
    <row r="11" spans="1:16" ht="18" customHeight="1" x14ac:dyDescent="0.2">
      <c r="A11" s="37">
        <v>4</v>
      </c>
      <c r="B11" s="35"/>
      <c r="C11" s="35"/>
      <c r="D11" s="25"/>
      <c r="E11" s="35"/>
      <c r="F11" s="35"/>
      <c r="G11" s="25"/>
      <c r="H11" s="35"/>
      <c r="I11" s="35"/>
      <c r="J11" s="25"/>
      <c r="K11" s="35"/>
      <c r="L11" s="35"/>
      <c r="M11" s="25"/>
      <c r="N11" s="35"/>
      <c r="O11" s="35"/>
      <c r="P11" s="25"/>
    </row>
    <row r="12" spans="1:16" ht="62.15" customHeight="1" x14ac:dyDescent="0.2">
      <c r="A12" s="37"/>
      <c r="B12" s="36"/>
      <c r="C12" s="36"/>
      <c r="D12" s="36"/>
      <c r="E12" s="36"/>
      <c r="F12" s="36"/>
      <c r="G12" s="36"/>
      <c r="H12" s="36"/>
      <c r="I12" s="36"/>
      <c r="J12" s="36"/>
      <c r="K12" s="36"/>
      <c r="L12" s="36"/>
      <c r="M12" s="36"/>
      <c r="N12" s="36"/>
      <c r="O12" s="36"/>
      <c r="P12" s="36"/>
    </row>
    <row r="13" spans="1:16" ht="18" customHeight="1" x14ac:dyDescent="0.2">
      <c r="A13" s="37">
        <v>5</v>
      </c>
      <c r="B13" s="35"/>
      <c r="C13" s="35"/>
      <c r="D13" s="25"/>
      <c r="E13" s="35"/>
      <c r="F13" s="35"/>
      <c r="G13" s="25"/>
      <c r="H13" s="35"/>
      <c r="I13" s="35"/>
      <c r="J13" s="25"/>
      <c r="K13" s="35"/>
      <c r="L13" s="35"/>
      <c r="M13" s="25"/>
      <c r="N13" s="35"/>
      <c r="O13" s="35"/>
      <c r="P13" s="25"/>
    </row>
    <row r="14" spans="1:16" ht="62.15" customHeight="1" x14ac:dyDescent="0.2">
      <c r="A14" s="37"/>
      <c r="B14" s="36"/>
      <c r="C14" s="36"/>
      <c r="D14" s="36"/>
      <c r="E14" s="36"/>
      <c r="F14" s="36"/>
      <c r="G14" s="36"/>
      <c r="H14" s="36"/>
      <c r="I14" s="36"/>
      <c r="J14" s="36"/>
      <c r="K14" s="36"/>
      <c r="L14" s="36"/>
      <c r="M14" s="36"/>
      <c r="N14" s="36"/>
      <c r="O14" s="36"/>
      <c r="P14" s="36"/>
    </row>
    <row r="15" spans="1:16" ht="18" customHeight="1" x14ac:dyDescent="0.2">
      <c r="A15" s="37">
        <v>6</v>
      </c>
      <c r="B15" s="35"/>
      <c r="C15" s="35"/>
      <c r="D15" s="25"/>
      <c r="E15" s="35"/>
      <c r="F15" s="35"/>
      <c r="G15" s="25"/>
      <c r="H15" s="35"/>
      <c r="I15" s="35"/>
      <c r="J15" s="25"/>
      <c r="K15" s="35"/>
      <c r="L15" s="35"/>
      <c r="M15" s="25"/>
      <c r="N15" s="35"/>
      <c r="O15" s="35"/>
      <c r="P15" s="25"/>
    </row>
    <row r="16" spans="1:16" ht="62.15" customHeight="1" x14ac:dyDescent="0.2">
      <c r="A16" s="37"/>
      <c r="B16" s="36"/>
      <c r="C16" s="36"/>
      <c r="D16" s="36"/>
      <c r="E16" s="36"/>
      <c r="F16" s="36"/>
      <c r="G16" s="36"/>
      <c r="H16" s="36"/>
      <c r="I16" s="36"/>
      <c r="J16" s="36"/>
      <c r="K16" s="36"/>
      <c r="L16" s="36"/>
      <c r="M16" s="36"/>
      <c r="N16" s="36"/>
      <c r="O16" s="36"/>
      <c r="P16" s="36"/>
    </row>
    <row r="17" spans="1:16" ht="18" customHeight="1" x14ac:dyDescent="0.2">
      <c r="A17" s="37">
        <v>7</v>
      </c>
      <c r="B17" s="35"/>
      <c r="C17" s="35"/>
      <c r="D17" s="25"/>
      <c r="E17" s="35"/>
      <c r="F17" s="35"/>
      <c r="G17" s="25"/>
      <c r="H17" s="35"/>
      <c r="I17" s="35"/>
      <c r="J17" s="25"/>
      <c r="K17" s="35"/>
      <c r="L17" s="35"/>
      <c r="M17" s="25"/>
      <c r="N17" s="35"/>
      <c r="O17" s="35"/>
      <c r="P17" s="25"/>
    </row>
    <row r="18" spans="1:16" ht="62.15" customHeight="1" x14ac:dyDescent="0.2">
      <c r="A18" s="37"/>
      <c r="B18" s="36"/>
      <c r="C18" s="36"/>
      <c r="D18" s="36"/>
      <c r="E18" s="36"/>
      <c r="F18" s="36"/>
      <c r="G18" s="36"/>
      <c r="H18" s="36"/>
      <c r="I18" s="36"/>
      <c r="J18" s="36"/>
      <c r="K18" s="36"/>
      <c r="L18" s="36"/>
      <c r="M18" s="36"/>
      <c r="N18" s="36"/>
      <c r="O18" s="36"/>
      <c r="P18" s="36"/>
    </row>
    <row r="19" spans="1:16" ht="55" customHeight="1" x14ac:dyDescent="0.2">
      <c r="A19" s="10" t="s">
        <v>58</v>
      </c>
      <c r="B19" s="32"/>
      <c r="C19" s="32"/>
      <c r="D19" s="32"/>
      <c r="E19" s="32"/>
      <c r="F19" s="32"/>
      <c r="G19" s="32"/>
      <c r="H19" s="32"/>
      <c r="I19" s="32"/>
      <c r="J19" s="32"/>
      <c r="K19" s="32"/>
      <c r="L19" s="32"/>
      <c r="M19" s="32"/>
      <c r="N19" s="32"/>
      <c r="O19" s="32"/>
      <c r="P19" s="32"/>
    </row>
    <row r="20" spans="1:16" hidden="1" x14ac:dyDescent="0.2">
      <c r="A20" s="11"/>
      <c r="B20" s="11"/>
      <c r="C20" s="11"/>
      <c r="D20" s="11"/>
      <c r="E20" s="11"/>
      <c r="F20" s="11"/>
      <c r="G20" s="11"/>
      <c r="H20" s="11"/>
      <c r="I20" s="11"/>
      <c r="J20" s="11"/>
      <c r="K20" s="11"/>
      <c r="L20" s="11"/>
      <c r="M20" s="11"/>
      <c r="N20" s="11"/>
      <c r="O20" s="11"/>
      <c r="P20" s="11"/>
    </row>
    <row r="21" spans="1:16" ht="13.5" customHeight="1" x14ac:dyDescent="0.2">
      <c r="A21" s="12" t="s">
        <v>59</v>
      </c>
      <c r="B21" s="12" t="str">
        <f>IF(基本設定!B6="","",基本設定!B6)</f>
        <v>2-1</v>
      </c>
      <c r="C21" s="12" t="str">
        <f>IF(基本設定!B7="","",基本設定!B7)</f>
        <v>2-4</v>
      </c>
      <c r="D21" s="12" t="str">
        <f>IF(基本設定!B8="","",基本設定!B8)</f>
        <v>3-5</v>
      </c>
      <c r="E21" s="12" t="str">
        <f>IF(基本設定!B9="","",基本設定!B9)</f>
        <v>2-2数t</v>
      </c>
      <c r="F21" s="12" t="str">
        <f>IF(基本設定!B10="","",基本設定!B10)</f>
        <v>2-3数t</v>
      </c>
      <c r="G21" s="12" t="str">
        <f>IF(基本設定!B11="","",基本設定!B11)</f>
        <v>2-5数t</v>
      </c>
      <c r="H21" s="12"/>
      <c r="I21" s="12"/>
      <c r="J21" s="12"/>
      <c r="K21" s="12"/>
      <c r="L21" s="12"/>
      <c r="M21" s="13" t="s">
        <v>64</v>
      </c>
      <c r="N21" s="12" t="s">
        <v>25</v>
      </c>
      <c r="O21" s="12" t="s">
        <v>27</v>
      </c>
      <c r="P21" s="14" t="s">
        <v>60</v>
      </c>
    </row>
    <row r="22" spans="1:16" ht="13.5" customHeight="1" x14ac:dyDescent="0.2">
      <c r="A22" s="15" t="s">
        <v>61</v>
      </c>
      <c r="B22" s="16">
        <f>IF(B21="","",IFERROR(VALUE(VLOOKUP(B21,基本設定!$A$23:$B$35,2,FALSE())),""))</f>
        <v>4</v>
      </c>
      <c r="C22" s="16">
        <f>IF(C21="","",IFERROR(VALUE(VLOOKUP(C21,基本設定!$A$23:$B$35,2,FALSE())),""))</f>
        <v>4</v>
      </c>
      <c r="D22" s="16">
        <f>IF(D21="","",IFERROR(VALUE(VLOOKUP(D21,基本設定!$A$23:$B$35,2,FALSE())),""))</f>
        <v>4</v>
      </c>
      <c r="E22" s="16">
        <f>IF(E21="","",IFERROR(VALUE(VLOOKUP(E21,基本設定!$A$23:$B$35,2,FALSE())),""))</f>
        <v>1</v>
      </c>
      <c r="F22" s="16">
        <f>IF(F21="","",IFERROR(VALUE(VLOOKUP(F21,基本設定!$A$23:$B$35,2,FALSE())),""))</f>
        <v>1</v>
      </c>
      <c r="G22" s="16">
        <f>IF(G21="","",IFERROR(VALUE(VLOOKUP(G21,基本設定!$A$23:$B$35,2,FALSE())),""))</f>
        <v>1</v>
      </c>
      <c r="H22" s="17"/>
      <c r="I22" s="17"/>
      <c r="J22" s="17"/>
      <c r="K22" s="17"/>
      <c r="L22" s="17"/>
      <c r="M22" s="17">
        <v>1</v>
      </c>
      <c r="N22" s="17">
        <f>IF(N21="","",IFERROR(VALUE(VLOOKUP(N21,基本設定!$A$23:$B$35,2,FALSE())),""))</f>
        <v>1</v>
      </c>
      <c r="O22" s="17">
        <f>IF(O21="","",IFERROR(VALUE(VLOOKUP(O21,基本設定!$A$23:$B$35,2,FALSE())),""))</f>
        <v>2</v>
      </c>
      <c r="P22" s="18">
        <f>IF(SUM(B22:O22)=0,"",SUM(B22:O22))</f>
        <v>19</v>
      </c>
    </row>
    <row r="23" spans="1:16" ht="13.5" customHeight="1" x14ac:dyDescent="0.2">
      <c r="A23" s="33" t="s">
        <v>62</v>
      </c>
      <c r="B23" s="19" t="str">
        <f>IF(B21="","",IF(B24="","",B24-(SUMPRODUCT((B5:C5=B21)*(D5="×"))+SUMPRODUCT((E5:F5=B21)*(G5="×"))+SUMPRODUCT((H5:I5=B21)*(J5="×"))+SUMPRODUCT((K5:L5=B21)*(M5="×"))+SUMPRODUCT((N5:O5=B21)*(P5="×"))+SUMPRODUCT((B7:C7=B21)*(D7="×"))+SUMPRODUCT((E7:F7=B21)*(G7="×"))+SUMPRODUCT((H7:I7=B21)*(J7="×"))+SUMPRODUCT((K7:L7=B21)*(M7="×"))+SUMPRODUCT((N7:O7=B21)*(P7="×"))+SUMPRODUCT((B9:C9=B21)*(D9="×"))+SUMPRODUCT((E9:F9=B21)*(G9="×"))+SUMPRODUCT((H9:I9=B21)*(J9="×"))+SUMPRODUCT((K9:L9=B21)*(M9="×"))+SUMPRODUCT((N9:O9=B21)*(P9="×"))+SUMPRODUCT((B11:C11=B21)*(D11="×"))+SUMPRODUCT((E11:F11=B21)*(G11="×"))+SUMPRODUCT((H11:I11=B21)*(J11="×"))+SUMPRODUCT((K11:L11=B21)*(M11="×"))+SUMPRODUCT((N11:O11=B21)*(P11="×"))+SUMPRODUCT((B13:C13=B21)*(D13="×"))+SUMPRODUCT((E13:F13=B21)*(G13="×"))+SUMPRODUCT((H13:I13=B21)*(J13="×"))+SUMPRODUCT((K13:L13=B21)*(M13="×"))+SUMPRODUCT((N13:O13=B21)*(P13="×"))+SUMPRODUCT((B15:C15=B21)*(D15="×"))+SUMPRODUCT((E15:F15=B21)*(G15="×"))+SUMPRODUCT((H15:I15=B21)*(J15="×"))+SUMPRODUCT((K15:L15=B21)*(M15="×"))+SUMPRODUCT((N15:O15=B21)*(P15="×"))+SUMPRODUCT((B17:C17=B21)*(D17="×"))+SUMPRODUCT((E17:F17=B21)*(G17="×"))+SUMPRODUCT((H17:I17=B21)*(J17="×"))+SUMPRODUCT((K17:L17=B21)*(M17="×"))+SUMPRODUCT((N17:O17=B21)*(P17="×")))))</f>
        <v/>
      </c>
      <c r="C23" s="19" t="str">
        <f>IF(C21="","",IF(C24="","",C24-(SUMPRODUCT((B5:C5=C21)*(D5="×"))+SUMPRODUCT((E5:F5=C21)*(G5="×"))+SUMPRODUCT((H5:I5=C21)*(J5="×"))+SUMPRODUCT((K5:L5=C21)*(M5="×"))+SUMPRODUCT((N5:O5=C21)*(P5="×"))+SUMPRODUCT((B7:C7=C21)*(D7="×"))+SUMPRODUCT((E7:F7=C21)*(G7="×"))+SUMPRODUCT((H7:I7=C21)*(J7="×"))+SUMPRODUCT((K7:L7=C21)*(M7="×"))+SUMPRODUCT((N7:O7=C21)*(P7="×"))+SUMPRODUCT((B9:C9=C21)*(D9="×"))+SUMPRODUCT((E9:F9=C21)*(G9="×"))+SUMPRODUCT((H9:I9=C21)*(J9="×"))+SUMPRODUCT((K9:L9=C21)*(M9="×"))+SUMPRODUCT((N9:O9=C21)*(P9="×"))+SUMPRODUCT((B11:C11=C21)*(D11="×"))+SUMPRODUCT((E11:F11=C21)*(G11="×"))+SUMPRODUCT((H11:I11=C21)*(J11="×"))+SUMPRODUCT((K11:L11=C21)*(M11="×"))+SUMPRODUCT((N11:O11=C21)*(P11="×"))+SUMPRODUCT((B13:C13=C21)*(D13="×"))+SUMPRODUCT((E13:F13=C21)*(G13="×"))+SUMPRODUCT((H13:I13=C21)*(J13="×"))+SUMPRODUCT((K13:L13=C21)*(M13="×"))+SUMPRODUCT((N13:O13=C21)*(P13="×"))+SUMPRODUCT((B15:C15=C21)*(D15="×"))+SUMPRODUCT((E15:F15=C21)*(G15="×"))+SUMPRODUCT((H15:I15=C21)*(J15="×"))+SUMPRODUCT((K15:L15=C21)*(M15="×"))+SUMPRODUCT((N15:O15=C21)*(P15="×"))+SUMPRODUCT((B17:C17=C21)*(D17="×"))+SUMPRODUCT((E17:F17=C21)*(G17="×"))+SUMPRODUCT((H17:I17=C21)*(J17="×"))+SUMPRODUCT((K17:L17=C21)*(M17="×"))+SUMPRODUCT((N17:O17=C21)*(P17="×")))))</f>
        <v/>
      </c>
      <c r="D23" s="19" t="str">
        <f>IF(D21="","",IF(D24="","",D24-(SUMPRODUCT((B5:C5=D21)*(D5="×"))+SUMPRODUCT((E5:F5=D21)*(G5="×"))+SUMPRODUCT((H5:I5=D21)*(J5="×"))+SUMPRODUCT((K5:L5=D21)*(M5="×"))+SUMPRODUCT((N5:O5=D21)*(P5="×"))+SUMPRODUCT((B7:C7=D21)*(D7="×"))+SUMPRODUCT((E7:F7=D21)*(G7="×"))+SUMPRODUCT((H7:I7=D21)*(J7="×"))+SUMPRODUCT((K7:L7=D21)*(M7="×"))+SUMPRODUCT((N7:O7=D21)*(P7="×"))+SUMPRODUCT((B9:C9=D21)*(D9="×"))+SUMPRODUCT((E9:F9=D21)*(G9="×"))+SUMPRODUCT((H9:I9=D21)*(J9="×"))+SUMPRODUCT((K9:L9=D21)*(M9="×"))+SUMPRODUCT((N9:O9=D21)*(P9="×"))+SUMPRODUCT((B11:C11=D21)*(D11="×"))+SUMPRODUCT((E11:F11=D21)*(G11="×"))+SUMPRODUCT((H11:I11=D21)*(J11="×"))+SUMPRODUCT((K11:L11=D21)*(M11="×"))+SUMPRODUCT((N11:O11=D21)*(P11="×"))+SUMPRODUCT((B13:C13=D21)*(D13="×"))+SUMPRODUCT((E13:F13=D21)*(G13="×"))+SUMPRODUCT((H13:I13=D21)*(J13="×"))+SUMPRODUCT((K13:L13=D21)*(M13="×"))+SUMPRODUCT((N13:O13=D21)*(P13="×"))+SUMPRODUCT((B15:C15=D21)*(D15="×"))+SUMPRODUCT((E15:F15=D21)*(G15="×"))+SUMPRODUCT((H15:I15=D21)*(J15="×"))+SUMPRODUCT((K15:L15=D21)*(M15="×"))+SUMPRODUCT((N15:O15=D21)*(P15="×"))+SUMPRODUCT((B17:C17=D21)*(D17="×"))+SUMPRODUCT((E17:F17=D21)*(G17="×"))+SUMPRODUCT((H17:I17=D21)*(J17="×"))+SUMPRODUCT((K17:L17=D21)*(M17="×"))+SUMPRODUCT((N17:O17=D21)*(P17="×")))))</f>
        <v/>
      </c>
      <c r="E23" s="19" t="str">
        <f>IF(E21="","",IF(E24="","",E24-(SUMPRODUCT((B5:C5=E21)*(D5="×"))+SUMPRODUCT((E5:F5=E21)*(G5="×"))+SUMPRODUCT((H5:I5=E21)*(J5="×"))+SUMPRODUCT((K5:L5=E21)*(M5="×"))+SUMPRODUCT((N5:O5=E21)*(P5="×"))+SUMPRODUCT((B7:C7=E21)*(D7="×"))+SUMPRODUCT((E7:F7=E21)*(G7="×"))+SUMPRODUCT((H7:I7=E21)*(J7="×"))+SUMPRODUCT((K7:L7=E21)*(M7="×"))+SUMPRODUCT((N7:O7=E21)*(P7="×"))+SUMPRODUCT((B9:C9=E21)*(D9="×"))+SUMPRODUCT((E9:F9=E21)*(G9="×"))+SUMPRODUCT((H9:I9=E21)*(J9="×"))+SUMPRODUCT((K9:L9=E21)*(M9="×"))+SUMPRODUCT((N9:O9=E21)*(P9="×"))+SUMPRODUCT((B11:C11=E21)*(D11="×"))+SUMPRODUCT((E11:F11=E21)*(G11="×"))+SUMPRODUCT((H11:I11=E21)*(J11="×"))+SUMPRODUCT((K11:L11=E21)*(M11="×"))+SUMPRODUCT((N11:O11=E21)*(P11="×"))+SUMPRODUCT((B13:C13=E21)*(D13="×"))+SUMPRODUCT((E13:F13=E21)*(G13="×"))+SUMPRODUCT((H13:I13=E21)*(J13="×"))+SUMPRODUCT((K13:L13=E21)*(M13="×"))+SUMPRODUCT((N13:O13=E21)*(P13="×"))+SUMPRODUCT((B15:C15=E21)*(D15="×"))+SUMPRODUCT((E15:F15=E21)*(G15="×"))+SUMPRODUCT((H15:I15=E21)*(J15="×"))+SUMPRODUCT((K15:L15=E21)*(M15="×"))+SUMPRODUCT((N15:O15=E21)*(P15="×"))+SUMPRODUCT((B17:C17=E21)*(D17="×"))+SUMPRODUCT((E17:F17=E21)*(G17="×"))+SUMPRODUCT((H17:I17=E21)*(J17="×"))+SUMPRODUCT((K17:L17=E21)*(M17="×"))+SUMPRODUCT((N17:O17=E21)*(P17="×")))))</f>
        <v/>
      </c>
      <c r="F23" s="19" t="str">
        <f>IF(F21="","",IF(F24="","",F24-(SUMPRODUCT((B5:C5=F21)*(D5="×"))+SUMPRODUCT((E5:F5=F21)*(G5="×"))+SUMPRODUCT((H5:I5=F21)*(J5="×"))+SUMPRODUCT((K5:L5=F21)*(M5="×"))+SUMPRODUCT((N5:O5=F21)*(P5="×"))+SUMPRODUCT((B7:C7=F21)*(D7="×"))+SUMPRODUCT((E7:F7=F21)*(G7="×"))+SUMPRODUCT((H7:I7=F21)*(J7="×"))+SUMPRODUCT((K7:L7=F21)*(M7="×"))+SUMPRODUCT((N7:O7=F21)*(P7="×"))+SUMPRODUCT((B9:C9=F21)*(D9="×"))+SUMPRODUCT((E9:F9=F21)*(G9="×"))+SUMPRODUCT((H9:I9=F21)*(J9="×"))+SUMPRODUCT((K9:L9=F21)*(M9="×"))+SUMPRODUCT((N9:O9=F21)*(P9="×"))+SUMPRODUCT((B11:C11=F21)*(D11="×"))+SUMPRODUCT((E11:F11=F21)*(G11="×"))+SUMPRODUCT((H11:I11=F21)*(J11="×"))+SUMPRODUCT((K11:L11=F21)*(M11="×"))+SUMPRODUCT((N11:O11=F21)*(P11="×"))+SUMPRODUCT((B13:C13=F21)*(D13="×"))+SUMPRODUCT((E13:F13=F21)*(G13="×"))+SUMPRODUCT((H13:I13=F21)*(J13="×"))+SUMPRODUCT((K13:L13=F21)*(M13="×"))+SUMPRODUCT((N13:O13=F21)*(P13="×"))+SUMPRODUCT((B15:C15=F21)*(D15="×"))+SUMPRODUCT((E15:F15=F21)*(G15="×"))+SUMPRODUCT((H15:I15=F21)*(J15="×"))+SUMPRODUCT((K15:L15=F21)*(M15="×"))+SUMPRODUCT((N15:O15=F21)*(P15="×"))+SUMPRODUCT((B17:C17=F21)*(D17="×"))+SUMPRODUCT((E17:F17=F21)*(G17="×"))+SUMPRODUCT((H17:I17=F21)*(J17="×"))+SUMPRODUCT((K17:L17=F21)*(M17="×"))+SUMPRODUCT((N17:O17=F21)*(P17="×")))))</f>
        <v/>
      </c>
      <c r="G23" s="19" t="str">
        <f>IF(G21="","",IF(G24="","",G24-(SUMPRODUCT((B5:C5=G21)*(D5="×"))+SUMPRODUCT((E5:F5=G21)*(G5="×"))+SUMPRODUCT((H5:I5=G21)*(J5="×"))+SUMPRODUCT((K5:L5=G21)*(M5="×"))+SUMPRODUCT((N5:O5=G21)*(P5="×"))+SUMPRODUCT((B7:C7=G21)*(D7="×"))+SUMPRODUCT((E7:F7=G21)*(G7="×"))+SUMPRODUCT((H7:I7=G21)*(J7="×"))+SUMPRODUCT((K7:L7=G21)*(M7="×"))+SUMPRODUCT((N7:O7=G21)*(P7="×"))+SUMPRODUCT((B9:C9=G21)*(D9="×"))+SUMPRODUCT((E9:F9=G21)*(G9="×"))+SUMPRODUCT((H9:I9=G21)*(J9="×"))+SUMPRODUCT((K9:L9=G21)*(M9="×"))+SUMPRODUCT((N9:O9=G21)*(P9="×"))+SUMPRODUCT((B11:C11=G21)*(D11="×"))+SUMPRODUCT((E11:F11=G21)*(G11="×"))+SUMPRODUCT((H11:I11=G21)*(J11="×"))+SUMPRODUCT((K11:L11=G21)*(M11="×"))+SUMPRODUCT((N11:O11=G21)*(P11="×"))+SUMPRODUCT((B13:C13=G21)*(D13="×"))+SUMPRODUCT((E13:F13=G21)*(G13="×"))+SUMPRODUCT((H13:I13=G21)*(J13="×"))+SUMPRODUCT((K13:L13=G21)*(M13="×"))+SUMPRODUCT((N13:O13=G21)*(P13="×"))+SUMPRODUCT((B15:C15=G21)*(D15="×"))+SUMPRODUCT((E15:F15=G21)*(G15="×"))+SUMPRODUCT((H15:I15=G21)*(J15="×"))+SUMPRODUCT((K15:L15=G21)*(M15="×"))+SUMPRODUCT((N15:O15=G21)*(P15="×"))+SUMPRODUCT((B17:C17=G21)*(D17="×"))+SUMPRODUCT((E17:F17=G21)*(G17="×"))+SUMPRODUCT((H17:I17=G21)*(J17="×"))+SUMPRODUCT((K17:L17=G21)*(M17="×"))+SUMPRODUCT((N17:O17=G21)*(P17="×")))))</f>
        <v/>
      </c>
      <c r="H23" s="19"/>
      <c r="I23" s="19"/>
      <c r="J23" s="19"/>
      <c r="K23" s="19"/>
      <c r="L23" s="19"/>
      <c r="M23" s="19" t="str">
        <f>IF(M24="","",M24-(SUMPRODUCT((B5:C5="特活")*(D5="×"))+SUMPRODUCT((B5:C5="学活")*(D5="×"))+SUMPRODUCT((E5:F5="特活")*(G5="×"))+SUMPRODUCT((E5:F5="学活")*(G5="×"))+SUMPRODUCT((H5:I5="特活")*(J5="×"))+SUMPRODUCT((H5:I5="学活")*(J5="×"))+SUMPRODUCT((K5:L5="特活")*(M5="×"))+SUMPRODUCT((K5:L5="学活")*(M5="×"))+SUMPRODUCT((N5:O5="特活")*(P5="×"))+SUMPRODUCT((N5:O5="学活")*(P5="×"))+SUMPRODUCT((B7:C7="特活")*(D7="×"))+SUMPRODUCT((B7:C7="学活")*(D7="×"))+SUMPRODUCT((E7:F7="特活")*(G7="×"))+SUMPRODUCT((E7:F7="学活")*(G7="×"))+SUMPRODUCT((H7:I7="特活")*(J7="×"))+SUMPRODUCT((H7:I7="学活")*(J7="×"))+SUMPRODUCT((K7:L7="特活")*(M7="×"))+SUMPRODUCT((K7:L7="学活")*(M7="×"))+SUMPRODUCT((N7:O7="特活")*(P7="×"))+SUMPRODUCT((N7:O7="学活")*(P7="×"))+SUMPRODUCT((B9:C9="特活")*(D9="×"))+SUMPRODUCT((B9:C9="学活")*(D9="×"))+SUMPRODUCT((E9:F9="特活")*(G9="×"))+SUMPRODUCT((E9:F9="学活")*(G9="×"))+SUMPRODUCT((H9:I9="特活")*(J9="×"))+SUMPRODUCT((H9:I9="学活")*(J9="×"))+SUMPRODUCT((K9:L9="特活")*(M9="×"))+SUMPRODUCT((K9:L9="学活")*(M9="×"))+SUMPRODUCT((N9:O9="特活")*(P9="×"))+SUMPRODUCT((N9:O9="学活")*(P9="×"))+SUMPRODUCT((B11:C11="特活")*(D11="×"))+SUMPRODUCT((B11:C11="学活")*(D11="×"))+SUMPRODUCT((E11:F11="特活")*(G11="×"))+SUMPRODUCT((E11:F11="学活")*(G11="×"))+SUMPRODUCT((H11:I11="特活")*(J11="×"))+SUMPRODUCT((H11:I11="学活")*(J11="×"))+SUMPRODUCT((K11:L11="特活")*(M11="×"))+SUMPRODUCT((K11:L11="学活")*(M11="×"))+SUMPRODUCT((N11:O11="特活")*(P11="×"))+SUMPRODUCT((N11:O11="学活")*(P11="×"))+SUMPRODUCT((B13:C13="特活")*(D13="×"))+SUMPRODUCT((B13:C13="学活")*(D13="×"))+SUMPRODUCT((E13:F13="特活")*(G13="×"))+SUMPRODUCT((E13:F13="学活")*(G13="×"))+SUMPRODUCT((H13:I13="特活")*(J13="×"))+SUMPRODUCT((H13:I13="学活")*(J13="×"))+SUMPRODUCT((K13:L13="特活")*(M13="×"))+SUMPRODUCT((K13:L13="学活")*(M13="×"))+SUMPRODUCT((N13:O13="特活")*(P13="×"))+SUMPRODUCT((N13:O13="学活")*(P13="×"))+SUMPRODUCT((B15:C15="特活")*(D15="×"))+SUMPRODUCT((B15:C15="学活")*(D15="×"))+SUMPRODUCT((E15:F15="特活")*(G15="×"))+SUMPRODUCT((E15:F15="学活")*(G15="×"))+SUMPRODUCT((H15:I15="特活")*(J15="×"))+SUMPRODUCT((H15:I15="学活")*(J15="×"))+SUMPRODUCT((K15:L15="特活")*(M15="×"))+SUMPRODUCT((K15:L15="学活")*(M15="×"))+SUMPRODUCT((N15:O15="特活")*(P15="×"))+SUMPRODUCT((N15:O15="学活")*(P15="×"))+SUMPRODUCT((B17:C17="特活")*(D17="×"))+SUMPRODUCT((B17:C17="学活")*(D17="×"))+SUMPRODUCT((E17:F17="特活")*(G17="×"))+SUMPRODUCT((E17:F17="学活")*(G17="×"))+SUMPRODUCT((H17:I17="特活")*(J17="×"))+SUMPRODUCT((H17:I17="学活")*(J17="×"))+SUMPRODUCT((K17:L17="特活")*(M17="×"))+SUMPRODUCT((K17:L17="学活")*(M17="×"))+SUMPRODUCT((N17:O17="特活")*(P17="×"))+SUMPRODUCT((N17:O17="学活")*(P17="×"))))</f>
        <v/>
      </c>
      <c r="N23" s="19" t="str">
        <f>IF(N24="","",N24-(SUMPRODUCT((B5:C5=N21)*(D5="×"))+SUMPRODUCT((E5:F5=N21)*(G5="×"))+SUMPRODUCT((H5:I5=N21)*(J5="×"))+SUMPRODUCT((K5:L5=N21)*(M5="×"))+SUMPRODUCT((N5:O5=N21)*(P5="×"))+SUMPRODUCT((B7:C7=N21)*(D7="×"))+SUMPRODUCT((E7:F7=N21)*(G7="×"))+SUMPRODUCT((H7:I7=N21)*(J7="×"))+SUMPRODUCT((K7:L7=N21)*(M7="×"))+SUMPRODUCT((N7:O7=N21)*(P7="×"))+SUMPRODUCT((B9:C9=N21)*(D9="×"))+SUMPRODUCT((E9:F9=N21)*(G9="×"))+SUMPRODUCT((H9:I9=N21)*(J9="×"))+SUMPRODUCT((K9:L9=N21)*(M9="×"))+SUMPRODUCT((N9:O9=N21)*(P9="×"))+SUMPRODUCT((B11:C11=N21)*(D11="×"))+SUMPRODUCT((E11:F11=N21)*(G11="×"))+SUMPRODUCT((H11:I11=N21)*(J11="×"))+SUMPRODUCT((K11:L11=N21)*(M11="×"))+SUMPRODUCT((N11:O11=N21)*(P11="×"))+SUMPRODUCT((B13:C13=N21)*(D13="×"))+SUMPRODUCT((E13:F13=N21)*(G13="×"))+SUMPRODUCT((H13:I13=N21)*(J13="×"))+SUMPRODUCT((K13:L13=N21)*(M13="×"))+SUMPRODUCT((N13:O13=N21)*(P13="×"))+SUMPRODUCT((B15:C15=N21)*(D15="×"))+SUMPRODUCT((E15:F15=N21)*(G15="×"))+SUMPRODUCT((H15:I15=N21)*(J15="×"))+SUMPRODUCT((K15:L15=N21)*(M15="×"))+SUMPRODUCT((N15:O15=N21)*(P15="×"))+SUMPRODUCT((B17:C17=N21)*(D17="×"))+SUMPRODUCT((E17:F17=N21)*(G17="×"))+SUMPRODUCT((H17:I17=N21)*(J17="×"))+SUMPRODUCT((K17:L17=N21)*(M17="×"))+SUMPRODUCT((N17:O17=N21)*(P17="×"))))</f>
        <v/>
      </c>
      <c r="O23" s="19" t="str">
        <f>IF(O24="","",O24-(SUMPRODUCT((B5:C5=O21)*(D5="×"))+SUMPRODUCT((E5:F5=O21)*(G5="×"))+SUMPRODUCT((H5:I5=O21)*(J5="×"))+SUMPRODUCT((K5:L5=O21)*(M5="×"))+SUMPRODUCT((N5:O5=O21)*(P5="×"))+SUMPRODUCT((B7:C7=O21)*(D7="×"))+SUMPRODUCT((E7:F7=O21)*(G7="×"))+SUMPRODUCT((H7:I7=O21)*(J7="×"))+SUMPRODUCT((K7:L7=O21)*(M7="×"))+SUMPRODUCT((N7:O7=O21)*(P7="×"))+SUMPRODUCT((B9:C9=O21)*(D9="×"))+SUMPRODUCT((E9:F9=O21)*(G9="×"))+SUMPRODUCT((H9:I9=O21)*(J9="×"))+SUMPRODUCT((K9:L9=O21)*(M9="×"))+SUMPRODUCT((N9:O9=O21)*(P9="×"))+SUMPRODUCT((B11:C11=O21)*(D11="×"))+SUMPRODUCT((E11:F11=O21)*(G11="×"))+SUMPRODUCT((H11:I11=O21)*(J11="×"))+SUMPRODUCT((K11:L11=O21)*(M11="×"))+SUMPRODUCT((N11:O11=O21)*(P11="×"))+SUMPRODUCT((B13:C13=O21)*(D13="×"))+SUMPRODUCT((E13:F13=O21)*(G13="×"))+SUMPRODUCT((H13:I13=O21)*(J13="×"))+SUMPRODUCT((K13:L13=O21)*(M13="×"))+SUMPRODUCT((N13:O13=O21)*(P13="×"))+SUMPRODUCT((B15:C15=O21)*(D15="×"))+SUMPRODUCT((E15:F15=O21)*(G15="×"))+SUMPRODUCT((H15:I15=O21)*(J15="×"))+SUMPRODUCT((K15:L15=O21)*(M15="×"))+SUMPRODUCT((N15:O15=O21)*(P15="×"))+SUMPRODUCT((B17:C17=O21)*(D17="×"))+SUMPRODUCT((E17:F17=O21)*(G17="×"))+SUMPRODUCT((H17:I17=O21)*(J17="×"))+SUMPRODUCT((K17:L17=O21)*(M17="×"))+SUMPRODUCT((N17:O17=O21)*(P17="×"))))</f>
        <v/>
      </c>
      <c r="P23" s="20" t="str">
        <f>IF(SUM(B23:O23)=0,"",SUM(B23:O23))</f>
        <v/>
      </c>
    </row>
    <row r="24" spans="1:16" ht="13.5" customHeight="1" x14ac:dyDescent="0.2">
      <c r="A24" s="34"/>
      <c r="B24" s="21" t="str">
        <f>IF(B21="","",IF(COUNTIF(B5:C5,B21)+COUNTIF(B5:C5,"*,"&amp;B21&amp;",*")+COUNTIF(E5:F5,B21)+COUNTIF(E5:F5,"*,"&amp;B21&amp;",*")+COUNTIF(H5:I5,B21)+COUNTIF(H5:I5,"*,"&amp;B21&amp;",*")+COUNTIF(K5:L5,B21)+COUNTIF(K5:L5,"*,"&amp;B21&amp;",*")+COUNTIF(N5:O5,B21)+COUNTIF(N5:O5,"*,"&amp;B21&amp;",*")+COUNTIF(B7:C7,B21)+COUNTIF(B7:C7,"*,"&amp;B21&amp;",*")+COUNTIF(E7:F7,B21)+COUNTIF(E7:F7,"*,"&amp;B21&amp;",*")+COUNTIF(H7:I7,B21)+COUNTIF(H7:I7,"*,"&amp;B21&amp;",*")+COUNTIF(K7:L7,B21)+COUNTIF(K7:L7,"*,"&amp;B21&amp;",*")+COUNTIF(N7:O7,B21)+COUNTIF(N7:O7,"*,"&amp;B21&amp;",*")+COUNTIF(B9:C9,B21)+COUNTIF(B9:C9,"*,"&amp;B21&amp;",*")+COUNTIF(E9:F9,B21)+COUNTIF(E9:F9,"*,"&amp;B21&amp;",*")+COUNTIF(H9:I9,B21)+COUNTIF(H9:I9,"*,"&amp;B21&amp;",*")+COUNTIF(K9:L9,B21)+COUNTIF(K9:L9,"*,"&amp;B21&amp;",*")+COUNTIF(N9:O9,B21)+COUNTIF(N9:O9,"*,"&amp;B21&amp;",*")+COUNTIF(B11:C11,B21)+COUNTIF(B11:C11,"*,"&amp;B21&amp;",*")+COUNTIF(E11:F11,B21)+COUNTIF(E11:F11,"*,"&amp;B21&amp;",*")+COUNTIF(H11:I11,B21)+COUNTIF(H11:I11,"*,"&amp;B21&amp;",*")+COUNTIF(K11:L11,B21)+COUNTIF(K11:L11,"*,"&amp;B21&amp;",*")+COUNTIF(N11:O11,B21)+COUNTIF(N11:O11,"*,"&amp;B21&amp;",*")+COUNTIF(B13:C13,B21)+COUNTIF(B13:C13,"*,"&amp;B21&amp;",*")+COUNTIF(E13:F13,B21)+COUNTIF(E13:F13,"*,"&amp;B21&amp;",*")+COUNTIF(H13:I13,B21)+COUNTIF(H13:I13,"*,"&amp;B21&amp;",*")+COUNTIF(K13:L13,B21)+COUNTIF(K13:L13,"*,"&amp;B21&amp;",*")+COUNTIF(N13:O13,B21)+COUNTIF(N13:O13,"*,"&amp;B21&amp;",*")+COUNTIF(B15:C15,B21)+COUNTIF(B15:C15,"*,"&amp;B21&amp;",*")+COUNTIF(E15:F15,B21)+COUNTIF(E15:F15,"*,"&amp;B21&amp;",*")+COUNTIF(H15:I15,B21)+COUNTIF(H15:I15,"*,"&amp;B21&amp;",*")+COUNTIF(K15:L15,B21)+COUNTIF(K15:L15,"*,"&amp;B21&amp;",*")+COUNTIF(N15:O15,B21)+COUNTIF(N15:O15,"*,"&amp;B21&amp;",*")+COUNTIF(B17:C17,B21)+COUNTIF(B17:C17,"*,"&amp;B21&amp;",*")+COUNTIF(E17:F17,B21)+COUNTIF(E17:F17,"*,"&amp;B21&amp;",*")+COUNTIF(H17:I17,B21)+COUNTIF(H17:I17,"*,"&amp;B21&amp;",*")+COUNTIF(K17:L17,B21)+COUNTIF(K17:L17,"*,"&amp;B21&amp;",*")+COUNTIF(N17:O17,B21)+COUNTIF(N17:O17,"*,"&amp;B21&amp;",*")=0,"",COUNTIF(B5:C5,B21)+COUNTIF(B5:C5,"*,"&amp;B21&amp;",*")+COUNTIF(E5:F5,B21)+COUNTIF(E5:F5,"*,"&amp;B21&amp;",*")+COUNTIF(H5:I5,B21)+COUNTIF(H5:I5,"*,"&amp;B21&amp;",*")+COUNTIF(K5:L5,B21)+COUNTIF(K5:L5,"*,"&amp;B21&amp;",*")+COUNTIF(N5:O5,B21)+COUNTIF(N5:O5,"*,"&amp;B21&amp;",*")+COUNTIF(B7:C7,B21)+COUNTIF(B7:C7,"*,"&amp;B21&amp;",*")+COUNTIF(E7:F7,B21)+COUNTIF(E7:F7,"*,"&amp;B21&amp;",*")+COUNTIF(H7:I7,B21)+COUNTIF(H7:I7,"*,"&amp;B21&amp;",*")+COUNTIF(K7:L7,B21)+COUNTIF(K7:L7,"*,"&amp;B21&amp;",*")+COUNTIF(N7:O7,B21)+COUNTIF(N7:O7,"*,"&amp;B21&amp;",*")+COUNTIF(B9:C9,B21)+COUNTIF(B9:C9,"*,"&amp;B21&amp;",*")+COUNTIF(E9:F9,B21)+COUNTIF(E9:F9,"*,"&amp;B21&amp;",*")+COUNTIF(H9:I9,B21)+COUNTIF(H9:I9,"*,"&amp;B21&amp;",*")+COUNTIF(K9:L9,B21)+COUNTIF(K9:L9,"*,"&amp;B21&amp;",*")+COUNTIF(N9:O9,B21)+COUNTIF(N9:O9,"*,"&amp;B21&amp;",*")+COUNTIF(B11:C11,B21)+COUNTIF(B11:C11,"*,"&amp;B21&amp;",*")+COUNTIF(E11:F11,B21)+COUNTIF(E11:F11,"*,"&amp;B21&amp;",*")+COUNTIF(H11:I11,B21)+COUNTIF(H11:I11,"*,"&amp;B21&amp;",*")+COUNTIF(K11:L11,B21)+COUNTIF(K11:L11,"*,"&amp;B21&amp;",*")+COUNTIF(N11:O11,B21)+COUNTIF(N11:O11,"*,"&amp;B21&amp;",*")+COUNTIF(B13:C13,B21)+COUNTIF(B13:C13,"*,"&amp;B21&amp;",*")+COUNTIF(E13:F13,B21)+COUNTIF(E13:F13,"*,"&amp;B21&amp;",*")+COUNTIF(H13:I13,B21)+COUNTIF(H13:I13,"*,"&amp;B21&amp;",*")+COUNTIF(K13:L13,B21)+COUNTIF(K13:L13,"*,"&amp;B21&amp;",*")+COUNTIF(N13:O13,B21)+COUNTIF(N13:O13,"*,"&amp;B21&amp;",*")+COUNTIF(B15:C15,B21)+COUNTIF(B15:C15,"*,"&amp;B21&amp;",*")+COUNTIF(E15:F15,B21)+COUNTIF(E15:F15,"*,"&amp;B21&amp;",*")+COUNTIF(H15:I15,B21)+COUNTIF(H15:I15,"*,"&amp;B21&amp;",*")+COUNTIF(K15:L15,B21)+COUNTIF(K15:L15,"*,"&amp;B21&amp;",*")+COUNTIF(N15:O15,B21)+COUNTIF(N15:O15,"*,"&amp;B21&amp;",*")+COUNTIF(B17:C17,B21)+COUNTIF(B17:C17,"*,"&amp;B21&amp;",*")+COUNTIF(E17:F17,B21)+COUNTIF(E17:F17,"*,"&amp;B21&amp;",*")+COUNTIF(H17:I17,B21)+COUNTIF(H17:I17,"*,"&amp;B21&amp;",*")+COUNTIF(K17:L17,B21)+COUNTIF(K17:L17,"*,"&amp;B21&amp;",*")+COUNTIF(N17:O17,B21)+COUNTIF(N17:O17,"*,"&amp;B21&amp;",*")))</f>
        <v/>
      </c>
      <c r="C24" s="21" t="str">
        <f>IF(C21="","",IF(COUNTIF(B5:C5,C21)+COUNTIF(B5:C5,"*,"&amp;C21&amp;",*")+COUNTIF(E5:F5,C21)+COUNTIF(E5:F5,"*,"&amp;C21&amp;",*")+COUNTIF(H5:I5,C21)+COUNTIF(H5:I5,"*,"&amp;C21&amp;",*")+COUNTIF(K5:L5,C21)+COUNTIF(K5:L5,"*,"&amp;C21&amp;",*")+COUNTIF(N5:O5,C21)+COUNTIF(N5:O5,"*,"&amp;C21&amp;",*")+COUNTIF(B7:C7,C21)+COUNTIF(B7:C7,"*,"&amp;C21&amp;",*")+COUNTIF(E7:F7,C21)+COUNTIF(E7:F7,"*,"&amp;C21&amp;",*")+COUNTIF(H7:I7,C21)+COUNTIF(H7:I7,"*,"&amp;C21&amp;",*")+COUNTIF(K7:L7,C21)+COUNTIF(K7:L7,"*,"&amp;C21&amp;",*")+COUNTIF(N7:O7,C21)+COUNTIF(N7:O7,"*,"&amp;C21&amp;",*")+COUNTIF(B9:C9,C21)+COUNTIF(B9:C9,"*,"&amp;C21&amp;",*")+COUNTIF(E9:F9,C21)+COUNTIF(E9:F9,"*,"&amp;C21&amp;",*")+COUNTIF(H9:I9,C21)+COUNTIF(H9:I9,"*,"&amp;C21&amp;",*")+COUNTIF(K9:L9,C21)+COUNTIF(K9:L9,"*,"&amp;C21&amp;",*")+COUNTIF(N9:O9,C21)+COUNTIF(N9:O9,"*,"&amp;C21&amp;",*")+COUNTIF(B11:C11,C21)+COUNTIF(B11:C11,"*,"&amp;C21&amp;",*")+COUNTIF(E11:F11,C21)+COUNTIF(E11:F11,"*,"&amp;C21&amp;",*")+COUNTIF(H11:I11,C21)+COUNTIF(H11:I11,"*,"&amp;C21&amp;",*")+COUNTIF(K11:L11,C21)+COUNTIF(K11:L11,"*,"&amp;C21&amp;",*")+COUNTIF(N11:O11,C21)+COUNTIF(N11:O11,"*,"&amp;C21&amp;",*")+COUNTIF(B13:C13,C21)+COUNTIF(B13:C13,"*,"&amp;C21&amp;",*")+COUNTIF(E13:F13,C21)+COUNTIF(E13:F13,"*,"&amp;C21&amp;",*")+COUNTIF(H13:I13,C21)+COUNTIF(H13:I13,"*,"&amp;C21&amp;",*")+COUNTIF(K13:L13,C21)+COUNTIF(K13:L13,"*,"&amp;C21&amp;",*")+COUNTIF(N13:O13,C21)+COUNTIF(N13:O13,"*,"&amp;C21&amp;",*")+COUNTIF(B15:C15,C21)+COUNTIF(B15:C15,"*,"&amp;C21&amp;",*")+COUNTIF(E15:F15,C21)+COUNTIF(E15:F15,"*,"&amp;C21&amp;",*")+COUNTIF(H15:I15,C21)+COUNTIF(H15:I15,"*,"&amp;C21&amp;",*")+COUNTIF(K15:L15,C21)+COUNTIF(K15:L15,"*,"&amp;C21&amp;",*")+COUNTIF(N15:O15,C21)+COUNTIF(N15:O15,"*,"&amp;C21&amp;",*")+COUNTIF(B17:C17,C21)+COUNTIF(B17:C17,"*,"&amp;C21&amp;",*")+COUNTIF(E17:F17,C21)+COUNTIF(E17:F17,"*,"&amp;C21&amp;",*")+COUNTIF(H17:I17,C21)+COUNTIF(H17:I17,"*,"&amp;C21&amp;",*")+COUNTIF(K17:L17,C21)+COUNTIF(K17:L17,"*,"&amp;C21&amp;",*")+COUNTIF(N17:O17,C21)+COUNTIF(N17:O17,"*,"&amp;C21&amp;",*")=0,"",COUNTIF(B5:C5,C21)+COUNTIF(B5:C5,"*,"&amp;C21&amp;",*")+COUNTIF(E5:F5,C21)+COUNTIF(E5:F5,"*,"&amp;C21&amp;",*")+COUNTIF(H5:I5,C21)+COUNTIF(H5:I5,"*,"&amp;C21&amp;",*")+COUNTIF(K5:L5,C21)+COUNTIF(K5:L5,"*,"&amp;C21&amp;",*")+COUNTIF(N5:O5,C21)+COUNTIF(N5:O5,"*,"&amp;C21&amp;",*")+COUNTIF(B7:C7,C21)+COUNTIF(B7:C7,"*,"&amp;C21&amp;",*")+COUNTIF(E7:F7,C21)+COUNTIF(E7:F7,"*,"&amp;C21&amp;",*")+COUNTIF(H7:I7,C21)+COUNTIF(H7:I7,"*,"&amp;C21&amp;",*")+COUNTIF(K7:L7,C21)+COUNTIF(K7:L7,"*,"&amp;C21&amp;",*")+COUNTIF(N7:O7,C21)+COUNTIF(N7:O7,"*,"&amp;C21&amp;",*")+COUNTIF(B9:C9,C21)+COUNTIF(B9:C9,"*,"&amp;C21&amp;",*")+COUNTIF(E9:F9,C21)+COUNTIF(E9:F9,"*,"&amp;C21&amp;",*")+COUNTIF(H9:I9,C21)+COUNTIF(H9:I9,"*,"&amp;C21&amp;",*")+COUNTIF(K9:L9,C21)+COUNTIF(K9:L9,"*,"&amp;C21&amp;",*")+COUNTIF(N9:O9,C21)+COUNTIF(N9:O9,"*,"&amp;C21&amp;",*")+COUNTIF(B11:C11,C21)+COUNTIF(B11:C11,"*,"&amp;C21&amp;",*")+COUNTIF(E11:F11,C21)+COUNTIF(E11:F11,"*,"&amp;C21&amp;",*")+COUNTIF(H11:I11,C21)+COUNTIF(H11:I11,"*,"&amp;C21&amp;",*")+COUNTIF(K11:L11,C21)+COUNTIF(K11:L11,"*,"&amp;C21&amp;",*")+COUNTIF(N11:O11,C21)+COUNTIF(N11:O11,"*,"&amp;C21&amp;",*")+COUNTIF(B13:C13,C21)+COUNTIF(B13:C13,"*,"&amp;C21&amp;",*")+COUNTIF(E13:F13,C21)+COUNTIF(E13:F13,"*,"&amp;C21&amp;",*")+COUNTIF(H13:I13,C21)+COUNTIF(H13:I13,"*,"&amp;C21&amp;",*")+COUNTIF(K13:L13,C21)+COUNTIF(K13:L13,"*,"&amp;C21&amp;",*")+COUNTIF(N13:O13,C21)+COUNTIF(N13:O13,"*,"&amp;C21&amp;",*")+COUNTIF(B15:C15,C21)+COUNTIF(B15:C15,"*,"&amp;C21&amp;",*")+COUNTIF(E15:F15,C21)+COUNTIF(E15:F15,"*,"&amp;C21&amp;",*")+COUNTIF(H15:I15,C21)+COUNTIF(H15:I15,"*,"&amp;C21&amp;",*")+COUNTIF(K15:L15,C21)+COUNTIF(K15:L15,"*,"&amp;C21&amp;",*")+COUNTIF(N15:O15,C21)+COUNTIF(N15:O15,"*,"&amp;C21&amp;",*")+COUNTIF(B17:C17,C21)+COUNTIF(B17:C17,"*,"&amp;C21&amp;",*")+COUNTIF(E17:F17,C21)+COUNTIF(E17:F17,"*,"&amp;C21&amp;",*")+COUNTIF(H17:I17,C21)+COUNTIF(H17:I17,"*,"&amp;C21&amp;",*")+COUNTIF(K17:L17,C21)+COUNTIF(K17:L17,"*,"&amp;C21&amp;",*")+COUNTIF(N17:O17,C21)+COUNTIF(N17:O17,"*,"&amp;C21&amp;",*")))</f>
        <v/>
      </c>
      <c r="D24" s="21" t="str">
        <f>IF(D21="","",IF(COUNTIF(B5:C5,D21)+COUNTIF(B5:C5,"*,"&amp;D21&amp;",*")+COUNTIF(E5:F5,D21)+COUNTIF(E5:F5,"*,"&amp;D21&amp;",*")+COUNTIF(H5:I5,D21)+COUNTIF(H5:I5,"*,"&amp;D21&amp;",*")+COUNTIF(K5:L5,D21)+COUNTIF(K5:L5,"*,"&amp;D21&amp;",*")+COUNTIF(N5:O5,D21)+COUNTIF(N5:O5,"*,"&amp;D21&amp;",*")+COUNTIF(B7:C7,D21)+COUNTIF(B7:C7,"*,"&amp;D21&amp;",*")+COUNTIF(E7:F7,D21)+COUNTIF(E7:F7,"*,"&amp;D21&amp;",*")+COUNTIF(H7:I7,D21)+COUNTIF(H7:I7,"*,"&amp;D21&amp;",*")+COUNTIF(K7:L7,D21)+COUNTIF(K7:L7,"*,"&amp;D21&amp;",*")+COUNTIF(N7:O7,D21)+COUNTIF(N7:O7,"*,"&amp;D21&amp;",*")+COUNTIF(B9:C9,D21)+COUNTIF(B9:C9,"*,"&amp;D21&amp;",*")+COUNTIF(E9:F9,D21)+COUNTIF(E9:F9,"*,"&amp;D21&amp;",*")+COUNTIF(H9:I9,D21)+COUNTIF(H9:I9,"*,"&amp;D21&amp;",*")+COUNTIF(K9:L9,D21)+COUNTIF(K9:L9,"*,"&amp;D21&amp;",*")+COUNTIF(N9:O9,D21)+COUNTIF(N9:O9,"*,"&amp;D21&amp;",*")+COUNTIF(B11:C11,D21)+COUNTIF(B11:C11,"*,"&amp;D21&amp;",*")+COUNTIF(E11:F11,D21)+COUNTIF(E11:F11,"*,"&amp;D21&amp;",*")+COUNTIF(H11:I11,D21)+COUNTIF(H11:I11,"*,"&amp;D21&amp;",*")+COUNTIF(K11:L11,D21)+COUNTIF(K11:L11,"*,"&amp;D21&amp;",*")+COUNTIF(N11:O11,D21)+COUNTIF(N11:O11,"*,"&amp;D21&amp;",*")+COUNTIF(B13:C13,D21)+COUNTIF(B13:C13,"*,"&amp;D21&amp;",*")+COUNTIF(E13:F13,D21)+COUNTIF(E13:F13,"*,"&amp;D21&amp;",*")+COUNTIF(H13:I13,D21)+COUNTIF(H13:I13,"*,"&amp;D21&amp;",*")+COUNTIF(K13:L13,D21)+COUNTIF(K13:L13,"*,"&amp;D21&amp;",*")+COUNTIF(N13:O13,D21)+COUNTIF(N13:O13,"*,"&amp;D21&amp;",*")+COUNTIF(B15:C15,D21)+COUNTIF(B15:C15,"*,"&amp;D21&amp;",*")+COUNTIF(E15:F15,D21)+COUNTIF(E15:F15,"*,"&amp;D21&amp;",*")+COUNTIF(H15:I15,D21)+COUNTIF(H15:I15,"*,"&amp;D21&amp;",*")+COUNTIF(K15:L15,D21)+COUNTIF(K15:L15,"*,"&amp;D21&amp;",*")+COUNTIF(N15:O15,D21)+COUNTIF(N15:O15,"*,"&amp;D21&amp;",*")+COUNTIF(B17:C17,D21)+COUNTIF(B17:C17,"*,"&amp;D21&amp;",*")+COUNTIF(E17:F17,D21)+COUNTIF(E17:F17,"*,"&amp;D21&amp;",*")+COUNTIF(H17:I17,D21)+COUNTIF(H17:I17,"*,"&amp;D21&amp;",*")+COUNTIF(K17:L17,D21)+COUNTIF(K17:L17,"*,"&amp;D21&amp;",*")+COUNTIF(N17:O17,D21)+COUNTIF(N17:O17,"*,"&amp;D21&amp;",*")=0,"",COUNTIF(B5:C5,D21)+COUNTIF(B5:C5,"*,"&amp;D21&amp;",*")+COUNTIF(E5:F5,D21)+COUNTIF(E5:F5,"*,"&amp;D21&amp;",*")+COUNTIF(H5:I5,D21)+COUNTIF(H5:I5,"*,"&amp;D21&amp;",*")+COUNTIF(K5:L5,D21)+COUNTIF(K5:L5,"*,"&amp;D21&amp;",*")+COUNTIF(N5:O5,D21)+COUNTIF(N5:O5,"*,"&amp;D21&amp;",*")+COUNTIF(B7:C7,D21)+COUNTIF(B7:C7,"*,"&amp;D21&amp;",*")+COUNTIF(E7:F7,D21)+COUNTIF(E7:F7,"*,"&amp;D21&amp;",*")+COUNTIF(H7:I7,D21)+COUNTIF(H7:I7,"*,"&amp;D21&amp;",*")+COUNTIF(K7:L7,D21)+COUNTIF(K7:L7,"*,"&amp;D21&amp;",*")+COUNTIF(N7:O7,D21)+COUNTIF(N7:O7,"*,"&amp;D21&amp;",*")+COUNTIF(B9:C9,D21)+COUNTIF(B9:C9,"*,"&amp;D21&amp;",*")+COUNTIF(E9:F9,D21)+COUNTIF(E9:F9,"*,"&amp;D21&amp;",*")+COUNTIF(H9:I9,D21)+COUNTIF(H9:I9,"*,"&amp;D21&amp;",*")+COUNTIF(K9:L9,D21)+COUNTIF(K9:L9,"*,"&amp;D21&amp;",*")+COUNTIF(N9:O9,D21)+COUNTIF(N9:O9,"*,"&amp;D21&amp;",*")+COUNTIF(B11:C11,D21)+COUNTIF(B11:C11,"*,"&amp;D21&amp;",*")+COUNTIF(E11:F11,D21)+COUNTIF(E11:F11,"*,"&amp;D21&amp;",*")+COUNTIF(H11:I11,D21)+COUNTIF(H11:I11,"*,"&amp;D21&amp;",*")+COUNTIF(K11:L11,D21)+COUNTIF(K11:L11,"*,"&amp;D21&amp;",*")+COUNTIF(N11:O11,D21)+COUNTIF(N11:O11,"*,"&amp;D21&amp;",*")+COUNTIF(B13:C13,D21)+COUNTIF(B13:C13,"*,"&amp;D21&amp;",*")+COUNTIF(E13:F13,D21)+COUNTIF(E13:F13,"*,"&amp;D21&amp;",*")+COUNTIF(H13:I13,D21)+COUNTIF(H13:I13,"*,"&amp;D21&amp;",*")+COUNTIF(K13:L13,D21)+COUNTIF(K13:L13,"*,"&amp;D21&amp;",*")+COUNTIF(N13:O13,D21)+COUNTIF(N13:O13,"*,"&amp;D21&amp;",*")+COUNTIF(B15:C15,D21)+COUNTIF(B15:C15,"*,"&amp;D21&amp;",*")+COUNTIF(E15:F15,D21)+COUNTIF(E15:F15,"*,"&amp;D21&amp;",*")+COUNTIF(H15:I15,D21)+COUNTIF(H15:I15,"*,"&amp;D21&amp;",*")+COUNTIF(K15:L15,D21)+COUNTIF(K15:L15,"*,"&amp;D21&amp;",*")+COUNTIF(N15:O15,D21)+COUNTIF(N15:O15,"*,"&amp;D21&amp;",*")+COUNTIF(B17:C17,D21)+COUNTIF(B17:C17,"*,"&amp;D21&amp;",*")+COUNTIF(E17:F17,D21)+COUNTIF(E17:F17,"*,"&amp;D21&amp;",*")+COUNTIF(H17:I17,D21)+COUNTIF(H17:I17,"*,"&amp;D21&amp;",*")+COUNTIF(K17:L17,D21)+COUNTIF(K17:L17,"*,"&amp;D21&amp;",*")+COUNTIF(N17:O17,D21)+COUNTIF(N17:O17,"*,"&amp;D21&amp;",*")))</f>
        <v/>
      </c>
      <c r="E24" s="21" t="str">
        <f>IF(E21="","",IF(COUNTIF(B5:C5,E21)+COUNTIF(B5:C5,"*,"&amp;E21&amp;",*")+COUNTIF(E5:F5,E21)+COUNTIF(E5:F5,"*,"&amp;E21&amp;",*")+COUNTIF(H5:I5,E21)+COUNTIF(H5:I5,"*,"&amp;E21&amp;",*")+COUNTIF(K5:L5,E21)+COUNTIF(K5:L5,"*,"&amp;E21&amp;",*")+COUNTIF(N5:O5,E21)+COUNTIF(N5:O5,"*,"&amp;E21&amp;",*")+COUNTIF(B7:C7,E21)+COUNTIF(B7:C7,"*,"&amp;E21&amp;",*")+COUNTIF(E7:F7,E21)+COUNTIF(E7:F7,"*,"&amp;E21&amp;",*")+COUNTIF(H7:I7,E21)+COUNTIF(H7:I7,"*,"&amp;E21&amp;",*")+COUNTIF(K7:L7,E21)+COUNTIF(K7:L7,"*,"&amp;E21&amp;",*")+COUNTIF(N7:O7,E21)+COUNTIF(N7:O7,"*,"&amp;E21&amp;",*")+COUNTIF(B9:C9,E21)+COUNTIF(B9:C9,"*,"&amp;E21&amp;",*")+COUNTIF(E9:F9,E21)+COUNTIF(E9:F9,"*,"&amp;E21&amp;",*")+COUNTIF(H9:I9,E21)+COUNTIF(H9:I9,"*,"&amp;E21&amp;",*")+COUNTIF(K9:L9,E21)+COUNTIF(K9:L9,"*,"&amp;E21&amp;",*")+COUNTIF(N9:O9,E21)+COUNTIF(N9:O9,"*,"&amp;E21&amp;",*")+COUNTIF(B11:C11,E21)+COUNTIF(B11:C11,"*,"&amp;E21&amp;",*")+COUNTIF(E11:F11,E21)+COUNTIF(E11:F11,"*,"&amp;E21&amp;",*")+COUNTIF(H11:I11,E21)+COUNTIF(H11:I11,"*,"&amp;E21&amp;",*")+COUNTIF(K11:L11,E21)+COUNTIF(K11:L11,"*,"&amp;E21&amp;",*")+COUNTIF(N11:O11,E21)+COUNTIF(N11:O11,"*,"&amp;E21&amp;",*")+COUNTIF(B13:C13,E21)+COUNTIF(B13:C13,"*,"&amp;E21&amp;",*")+COUNTIF(E13:F13,E21)+COUNTIF(E13:F13,"*,"&amp;E21&amp;",*")+COUNTIF(H13:I13,E21)+COUNTIF(H13:I13,"*,"&amp;E21&amp;",*")+COUNTIF(K13:L13,E21)+COUNTIF(K13:L13,"*,"&amp;E21&amp;",*")+COUNTIF(N13:O13,E21)+COUNTIF(N13:O13,"*,"&amp;E21&amp;",*")+COUNTIF(B15:C15,E21)+COUNTIF(B15:C15,"*,"&amp;E21&amp;",*")+COUNTIF(E15:F15,E21)+COUNTIF(E15:F15,"*,"&amp;E21&amp;",*")+COUNTIF(H15:I15,E21)+COUNTIF(H15:I15,"*,"&amp;E21&amp;",*")+COUNTIF(K15:L15,E21)+COUNTIF(K15:L15,"*,"&amp;E21&amp;",*")+COUNTIF(N15:O15,E21)+COUNTIF(N15:O15,"*,"&amp;E21&amp;",*")+COUNTIF(B17:C17,E21)+COUNTIF(B17:C17,"*,"&amp;E21&amp;",*")+COUNTIF(E17:F17,E21)+COUNTIF(E17:F17,"*,"&amp;E21&amp;",*")+COUNTIF(H17:I17,E21)+COUNTIF(H17:I17,"*,"&amp;E21&amp;",*")+COUNTIF(K17:L17,E21)+COUNTIF(K17:L17,"*,"&amp;E21&amp;",*")+COUNTIF(N17:O17,E21)+COUNTIF(N17:O17,"*,"&amp;E21&amp;",*")=0,"",COUNTIF(B5:C5,E21)+COUNTIF(B5:C5,"*,"&amp;E21&amp;",*")+COUNTIF(E5:F5,E21)+COUNTIF(E5:F5,"*,"&amp;E21&amp;",*")+COUNTIF(H5:I5,E21)+COUNTIF(H5:I5,"*,"&amp;E21&amp;",*")+COUNTIF(K5:L5,E21)+COUNTIF(K5:L5,"*,"&amp;E21&amp;",*")+COUNTIF(N5:O5,E21)+COUNTIF(N5:O5,"*,"&amp;E21&amp;",*")+COUNTIF(B7:C7,E21)+COUNTIF(B7:C7,"*,"&amp;E21&amp;",*")+COUNTIF(E7:F7,E21)+COUNTIF(E7:F7,"*,"&amp;E21&amp;",*")+COUNTIF(H7:I7,E21)+COUNTIF(H7:I7,"*,"&amp;E21&amp;",*")+COUNTIF(K7:L7,E21)+COUNTIF(K7:L7,"*,"&amp;E21&amp;",*")+COUNTIF(N7:O7,E21)+COUNTIF(N7:O7,"*,"&amp;E21&amp;",*")+COUNTIF(B9:C9,E21)+COUNTIF(B9:C9,"*,"&amp;E21&amp;",*")+COUNTIF(E9:F9,E21)+COUNTIF(E9:F9,"*,"&amp;E21&amp;",*")+COUNTIF(H9:I9,E21)+COUNTIF(H9:I9,"*,"&amp;E21&amp;",*")+COUNTIF(K9:L9,E21)+COUNTIF(K9:L9,"*,"&amp;E21&amp;",*")+COUNTIF(N9:O9,E21)+COUNTIF(N9:O9,"*,"&amp;E21&amp;",*")+COUNTIF(B11:C11,E21)+COUNTIF(B11:C11,"*,"&amp;E21&amp;",*")+COUNTIF(E11:F11,E21)+COUNTIF(E11:F11,"*,"&amp;E21&amp;",*")+COUNTIF(H11:I11,E21)+COUNTIF(H11:I11,"*,"&amp;E21&amp;",*")+COUNTIF(K11:L11,E21)+COUNTIF(K11:L11,"*,"&amp;E21&amp;",*")+COUNTIF(N11:O11,E21)+COUNTIF(N11:O11,"*,"&amp;E21&amp;",*")+COUNTIF(B13:C13,E21)+COUNTIF(B13:C13,"*,"&amp;E21&amp;",*")+COUNTIF(E13:F13,E21)+COUNTIF(E13:F13,"*,"&amp;E21&amp;",*")+COUNTIF(H13:I13,E21)+COUNTIF(H13:I13,"*,"&amp;E21&amp;",*")+COUNTIF(K13:L13,E21)+COUNTIF(K13:L13,"*,"&amp;E21&amp;",*")+COUNTIF(N13:O13,E21)+COUNTIF(N13:O13,"*,"&amp;E21&amp;",*")+COUNTIF(B15:C15,E21)+COUNTIF(B15:C15,"*,"&amp;E21&amp;",*")+COUNTIF(E15:F15,E21)+COUNTIF(E15:F15,"*,"&amp;E21&amp;",*")+COUNTIF(H15:I15,E21)+COUNTIF(H15:I15,"*,"&amp;E21&amp;",*")+COUNTIF(K15:L15,E21)+COUNTIF(K15:L15,"*,"&amp;E21&amp;",*")+COUNTIF(N15:O15,E21)+COUNTIF(N15:O15,"*,"&amp;E21&amp;",*")+COUNTIF(B17:C17,E21)+COUNTIF(B17:C17,"*,"&amp;E21&amp;",*")+COUNTIF(E17:F17,E21)+COUNTIF(E17:F17,"*,"&amp;E21&amp;",*")+COUNTIF(H17:I17,E21)+COUNTIF(H17:I17,"*,"&amp;E21&amp;",*")+COUNTIF(K17:L17,E21)+COUNTIF(K17:L17,"*,"&amp;E21&amp;",*")+COUNTIF(N17:O17,E21)+COUNTIF(N17:O17,"*,"&amp;E21&amp;",*")))</f>
        <v/>
      </c>
      <c r="F24" s="21" t="str">
        <f>IF(F21="","",IF(COUNTIF(B5:C5,F21)+COUNTIF(B5:C5,"*,"&amp;F21&amp;",*")+COUNTIF(E5:F5,F21)+COUNTIF(E5:F5,"*,"&amp;F21&amp;",*")+COUNTIF(H5:I5,F21)+COUNTIF(H5:I5,"*,"&amp;F21&amp;",*")+COUNTIF(K5:L5,F21)+COUNTIF(K5:L5,"*,"&amp;F21&amp;",*")+COUNTIF(N5:O5,F21)+COUNTIF(N5:O5,"*,"&amp;F21&amp;",*")+COUNTIF(B7:C7,F21)+COUNTIF(B7:C7,"*,"&amp;F21&amp;",*")+COUNTIF(E7:F7,F21)+COUNTIF(E7:F7,"*,"&amp;F21&amp;",*")+COUNTIF(H7:I7,F21)+COUNTIF(H7:I7,"*,"&amp;F21&amp;",*")+COUNTIF(K7:L7,F21)+COUNTIF(K7:L7,"*,"&amp;F21&amp;",*")+COUNTIF(N7:O7,F21)+COUNTIF(N7:O7,"*,"&amp;F21&amp;",*")+COUNTIF(B9:C9,F21)+COUNTIF(B9:C9,"*,"&amp;F21&amp;",*")+COUNTIF(E9:F9,F21)+COUNTIF(E9:F9,"*,"&amp;F21&amp;",*")+COUNTIF(H9:I9,F21)+COUNTIF(H9:I9,"*,"&amp;F21&amp;",*")+COUNTIF(K9:L9,F21)+COUNTIF(K9:L9,"*,"&amp;F21&amp;",*")+COUNTIF(N9:O9,F21)+COUNTIF(N9:O9,"*,"&amp;F21&amp;",*")+COUNTIF(B11:C11,F21)+COUNTIF(B11:C11,"*,"&amp;F21&amp;",*")+COUNTIF(E11:F11,F21)+COUNTIF(E11:F11,"*,"&amp;F21&amp;",*")+COUNTIF(H11:I11,F21)+COUNTIF(H11:I11,"*,"&amp;F21&amp;",*")+COUNTIF(K11:L11,F21)+COUNTIF(K11:L11,"*,"&amp;F21&amp;",*")+COUNTIF(N11:O11,F21)+COUNTIF(N11:O11,"*,"&amp;F21&amp;",*")+COUNTIF(B13:C13,F21)+COUNTIF(B13:C13,"*,"&amp;F21&amp;",*")+COUNTIF(E13:F13,F21)+COUNTIF(E13:F13,"*,"&amp;F21&amp;",*")+COUNTIF(H13:I13,F21)+COUNTIF(H13:I13,"*,"&amp;F21&amp;",*")+COUNTIF(K13:L13,F21)+COUNTIF(K13:L13,"*,"&amp;F21&amp;",*")+COUNTIF(N13:O13,F21)+COUNTIF(N13:O13,"*,"&amp;F21&amp;",*")+COUNTIF(B15:C15,F21)+COUNTIF(B15:C15,"*,"&amp;F21&amp;",*")+COUNTIF(E15:F15,F21)+COUNTIF(E15:F15,"*,"&amp;F21&amp;",*")+COUNTIF(H15:I15,F21)+COUNTIF(H15:I15,"*,"&amp;F21&amp;",*")+COUNTIF(K15:L15,F21)+COUNTIF(K15:L15,"*,"&amp;F21&amp;",*")+COUNTIF(N15:O15,F21)+COUNTIF(N15:O15,"*,"&amp;F21&amp;",*")+COUNTIF(B17:C17,F21)+COUNTIF(B17:C17,"*,"&amp;F21&amp;",*")+COUNTIF(E17:F17,F21)+COUNTIF(E17:F17,"*,"&amp;F21&amp;",*")+COUNTIF(H17:I17,F21)+COUNTIF(H17:I17,"*,"&amp;F21&amp;",*")+COUNTIF(K17:L17,F21)+COUNTIF(K17:L17,"*,"&amp;F21&amp;",*")+COUNTIF(N17:O17,F21)+COUNTIF(N17:O17,"*,"&amp;F21&amp;",*")=0,"",COUNTIF(B5:C5,F21)+COUNTIF(B5:C5,"*,"&amp;F21&amp;",*")+COUNTIF(E5:F5,F21)+COUNTIF(E5:F5,"*,"&amp;F21&amp;",*")+COUNTIF(H5:I5,F21)+COUNTIF(H5:I5,"*,"&amp;F21&amp;",*")+COUNTIF(K5:L5,F21)+COUNTIF(K5:L5,"*,"&amp;F21&amp;",*")+COUNTIF(N5:O5,F21)+COUNTIF(N5:O5,"*,"&amp;F21&amp;",*")+COUNTIF(B7:C7,F21)+COUNTIF(B7:C7,"*,"&amp;F21&amp;",*")+COUNTIF(E7:F7,F21)+COUNTIF(E7:F7,"*,"&amp;F21&amp;",*")+COUNTIF(H7:I7,F21)+COUNTIF(H7:I7,"*,"&amp;F21&amp;",*")+COUNTIF(K7:L7,F21)+COUNTIF(K7:L7,"*,"&amp;F21&amp;",*")+COUNTIF(N7:O7,F21)+COUNTIF(N7:O7,"*,"&amp;F21&amp;",*")+COUNTIF(B9:C9,F21)+COUNTIF(B9:C9,"*,"&amp;F21&amp;",*")+COUNTIF(E9:F9,F21)+COUNTIF(E9:F9,"*,"&amp;F21&amp;",*")+COUNTIF(H9:I9,F21)+COUNTIF(H9:I9,"*,"&amp;F21&amp;",*")+COUNTIF(K9:L9,F21)+COUNTIF(K9:L9,"*,"&amp;F21&amp;",*")+COUNTIF(N9:O9,F21)+COUNTIF(N9:O9,"*,"&amp;F21&amp;",*")+COUNTIF(B11:C11,F21)+COUNTIF(B11:C11,"*,"&amp;F21&amp;",*")+COUNTIF(E11:F11,F21)+COUNTIF(E11:F11,"*,"&amp;F21&amp;",*")+COUNTIF(H11:I11,F21)+COUNTIF(H11:I11,"*,"&amp;F21&amp;",*")+COUNTIF(K11:L11,F21)+COUNTIF(K11:L11,"*,"&amp;F21&amp;",*")+COUNTIF(N11:O11,F21)+COUNTIF(N11:O11,"*,"&amp;F21&amp;",*")+COUNTIF(B13:C13,F21)+COUNTIF(B13:C13,"*,"&amp;F21&amp;",*")+COUNTIF(E13:F13,F21)+COUNTIF(E13:F13,"*,"&amp;F21&amp;",*")+COUNTIF(H13:I13,F21)+COUNTIF(H13:I13,"*,"&amp;F21&amp;",*")+COUNTIF(K13:L13,F21)+COUNTIF(K13:L13,"*,"&amp;F21&amp;",*")+COUNTIF(N13:O13,F21)+COUNTIF(N13:O13,"*,"&amp;F21&amp;",*")+COUNTIF(B15:C15,F21)+COUNTIF(B15:C15,"*,"&amp;F21&amp;",*")+COUNTIF(E15:F15,F21)+COUNTIF(E15:F15,"*,"&amp;F21&amp;",*")+COUNTIF(H15:I15,F21)+COUNTIF(H15:I15,"*,"&amp;F21&amp;",*")+COUNTIF(K15:L15,F21)+COUNTIF(K15:L15,"*,"&amp;F21&amp;",*")+COUNTIF(N15:O15,F21)+COUNTIF(N15:O15,"*,"&amp;F21&amp;",*")+COUNTIF(B17:C17,F21)+COUNTIF(B17:C17,"*,"&amp;F21&amp;",*")+COUNTIF(E17:F17,F21)+COUNTIF(E17:F17,"*,"&amp;F21&amp;",*")+COUNTIF(H17:I17,F21)+COUNTIF(H17:I17,"*,"&amp;F21&amp;",*")+COUNTIF(K17:L17,F21)+COUNTIF(K17:L17,"*,"&amp;F21&amp;",*")+COUNTIF(N17:O17,F21)+COUNTIF(N17:O17,"*,"&amp;F21&amp;",*")))</f>
        <v/>
      </c>
      <c r="G24" s="21" t="str">
        <f>IF(G21="","",IF(COUNTIF(B5:C5,G21)+COUNTIF(B5:C5,"*,"&amp;G21&amp;",*")+COUNTIF(E5:F5,G21)+COUNTIF(E5:F5,"*,"&amp;G21&amp;",*")+COUNTIF(H5:I5,G21)+COUNTIF(H5:I5,"*,"&amp;G21&amp;",*")+COUNTIF(K5:L5,G21)+COUNTIF(K5:L5,"*,"&amp;G21&amp;",*")+COUNTIF(N5:O5,G21)+COUNTIF(N5:O5,"*,"&amp;G21&amp;",*")+COUNTIF(B7:C7,G21)+COUNTIF(B7:C7,"*,"&amp;G21&amp;",*")+COUNTIF(E7:F7,G21)+COUNTIF(E7:F7,"*,"&amp;G21&amp;",*")+COUNTIF(H7:I7,G21)+COUNTIF(H7:I7,"*,"&amp;G21&amp;",*")+COUNTIF(K7:L7,G21)+COUNTIF(K7:L7,"*,"&amp;G21&amp;",*")+COUNTIF(N7:O7,G21)+COUNTIF(N7:O7,"*,"&amp;G21&amp;",*")+COUNTIF(B9:C9,G21)+COUNTIF(B9:C9,"*,"&amp;G21&amp;",*")+COUNTIF(E9:F9,G21)+COUNTIF(E9:F9,"*,"&amp;G21&amp;",*")+COUNTIF(H9:I9,G21)+COUNTIF(H9:I9,"*,"&amp;G21&amp;",*")+COUNTIF(K9:L9,G21)+COUNTIF(K9:L9,"*,"&amp;G21&amp;",*")+COUNTIF(N9:O9,G21)+COUNTIF(N9:O9,"*,"&amp;G21&amp;",*")+COUNTIF(B11:C11,G21)+COUNTIF(B11:C11,"*,"&amp;G21&amp;",*")+COUNTIF(E11:F11,G21)+COUNTIF(E11:F11,"*,"&amp;G21&amp;",*")+COUNTIF(H11:I11,G21)+COUNTIF(H11:I11,"*,"&amp;G21&amp;",*")+COUNTIF(K11:L11,G21)+COUNTIF(K11:L11,"*,"&amp;G21&amp;",*")+COUNTIF(N11:O11,G21)+COUNTIF(N11:O11,"*,"&amp;G21&amp;",*")+COUNTIF(B13:C13,G21)+COUNTIF(B13:C13,"*,"&amp;G21&amp;",*")+COUNTIF(E13:F13,G21)+COUNTIF(E13:F13,"*,"&amp;G21&amp;",*")+COUNTIF(H13:I13,G21)+COUNTIF(H13:I13,"*,"&amp;G21&amp;",*")+COUNTIF(K13:L13,G21)+COUNTIF(K13:L13,"*,"&amp;G21&amp;",*")+COUNTIF(N13:O13,G21)+COUNTIF(N13:O13,"*,"&amp;G21&amp;",*")+COUNTIF(B15:C15,G21)+COUNTIF(B15:C15,"*,"&amp;G21&amp;",*")+COUNTIF(E15:F15,G21)+COUNTIF(E15:F15,"*,"&amp;G21&amp;",*")+COUNTIF(H15:I15,G21)+COUNTIF(H15:I15,"*,"&amp;G21&amp;",*")+COUNTIF(K15:L15,G21)+COUNTIF(K15:L15,"*,"&amp;G21&amp;",*")+COUNTIF(N15:O15,G21)+COUNTIF(N15:O15,"*,"&amp;G21&amp;",*")+COUNTIF(B17:C17,G21)+COUNTIF(B17:C17,"*,"&amp;G21&amp;",*")+COUNTIF(E17:F17,G21)+COUNTIF(E17:F17,"*,"&amp;G21&amp;",*")+COUNTIF(H17:I17,G21)+COUNTIF(H17:I17,"*,"&amp;G21&amp;",*")+COUNTIF(K17:L17,G21)+COUNTIF(K17:L17,"*,"&amp;G21&amp;",*")+COUNTIF(N17:O17,G21)+COUNTIF(N17:O17,"*,"&amp;G21&amp;",*")=0,"",COUNTIF(B5:C5,G21)+COUNTIF(B5:C5,"*,"&amp;G21&amp;",*")+COUNTIF(E5:F5,G21)+COUNTIF(E5:F5,"*,"&amp;G21&amp;",*")+COUNTIF(H5:I5,G21)+COUNTIF(H5:I5,"*,"&amp;G21&amp;",*")+COUNTIF(K5:L5,G21)+COUNTIF(K5:L5,"*,"&amp;G21&amp;",*")+COUNTIF(N5:O5,G21)+COUNTIF(N5:O5,"*,"&amp;G21&amp;",*")+COUNTIF(B7:C7,G21)+COUNTIF(B7:C7,"*,"&amp;G21&amp;",*")+COUNTIF(E7:F7,G21)+COUNTIF(E7:F7,"*,"&amp;G21&amp;",*")+COUNTIF(H7:I7,G21)+COUNTIF(H7:I7,"*,"&amp;G21&amp;",*")+COUNTIF(K7:L7,G21)+COUNTIF(K7:L7,"*,"&amp;G21&amp;",*")+COUNTIF(N7:O7,G21)+COUNTIF(N7:O7,"*,"&amp;G21&amp;",*")+COUNTIF(B9:C9,G21)+COUNTIF(B9:C9,"*,"&amp;G21&amp;",*")+COUNTIF(E9:F9,G21)+COUNTIF(E9:F9,"*,"&amp;G21&amp;",*")+COUNTIF(H9:I9,G21)+COUNTIF(H9:I9,"*,"&amp;G21&amp;",*")+COUNTIF(K9:L9,G21)+COUNTIF(K9:L9,"*,"&amp;G21&amp;",*")+COUNTIF(N9:O9,G21)+COUNTIF(N9:O9,"*,"&amp;G21&amp;",*")+COUNTIF(B11:C11,G21)+COUNTIF(B11:C11,"*,"&amp;G21&amp;",*")+COUNTIF(E11:F11,G21)+COUNTIF(E11:F11,"*,"&amp;G21&amp;",*")+COUNTIF(H11:I11,G21)+COUNTIF(H11:I11,"*,"&amp;G21&amp;",*")+COUNTIF(K11:L11,G21)+COUNTIF(K11:L11,"*,"&amp;G21&amp;",*")+COUNTIF(N11:O11,G21)+COUNTIF(N11:O11,"*,"&amp;G21&amp;",*")+COUNTIF(B13:C13,G21)+COUNTIF(B13:C13,"*,"&amp;G21&amp;",*")+COUNTIF(E13:F13,G21)+COUNTIF(E13:F13,"*,"&amp;G21&amp;",*")+COUNTIF(H13:I13,G21)+COUNTIF(H13:I13,"*,"&amp;G21&amp;",*")+COUNTIF(K13:L13,G21)+COUNTIF(K13:L13,"*,"&amp;G21&amp;",*")+COUNTIF(N13:O13,G21)+COUNTIF(N13:O13,"*,"&amp;G21&amp;",*")+COUNTIF(B15:C15,G21)+COUNTIF(B15:C15,"*,"&amp;G21&amp;",*")+COUNTIF(E15:F15,G21)+COUNTIF(E15:F15,"*,"&amp;G21&amp;",*")+COUNTIF(H15:I15,G21)+COUNTIF(H15:I15,"*,"&amp;G21&amp;",*")+COUNTIF(K15:L15,G21)+COUNTIF(K15:L15,"*,"&amp;G21&amp;",*")+COUNTIF(N15:O15,G21)+COUNTIF(N15:O15,"*,"&amp;G21&amp;",*")+COUNTIF(B17:C17,G21)+COUNTIF(B17:C17,"*,"&amp;G21&amp;",*")+COUNTIF(E17:F17,G21)+COUNTIF(E17:F17,"*,"&amp;G21&amp;",*")+COUNTIF(H17:I17,G21)+COUNTIF(H17:I17,"*,"&amp;G21&amp;",*")+COUNTIF(K17:L17,G21)+COUNTIF(K17:L17,"*,"&amp;G21&amp;",*")+COUNTIF(N17:O17,G21)+COUNTIF(N17:O17,"*,"&amp;G21&amp;",*")))</f>
        <v/>
      </c>
      <c r="H24" s="21"/>
      <c r="I24" s="21"/>
      <c r="J24" s="21"/>
      <c r="K24" s="21"/>
      <c r="L24" s="21"/>
      <c r="M24" s="21" t="str">
        <f>IF(COUNTIF(B5:C5,"特活")+COUNTIF(B5:C5,"学活")+COUNTIF(E5:F5,"特活")+COUNTIF(E5:F5,"学活")+COUNTIF(H5:I5,"特活")+COUNTIF(H5:I5,"学活")+COUNTIF(K5:L5,"特活")+COUNTIF(K5:L5,"学活")+COUNTIF(N5:O5,"特活")+COUNTIF(N5:O5,"学活")+COUNTIF(B7:C7,"特活")+COUNTIF(B7:C7,"学活")+COUNTIF(E7:F7,"特活")+COUNTIF(E7:F7,"学活")+COUNTIF(H7:I7,"特活")+COUNTIF(H7:I7,"学活")+COUNTIF(K7:L7,"特活")+COUNTIF(K7:L7,"学活")+COUNTIF(N7:O7,"特活")+COUNTIF(N7:O7,"学活")+COUNTIF(B9:C9,"特活")+COUNTIF(B9:C9,"学活")+COUNTIF(E9:F9,"特活")+COUNTIF(E9:F9,"学活")+COUNTIF(H9:I9,"特活")+COUNTIF(H9:I9,"学活")+COUNTIF(K9:L9,"特活")+COUNTIF(K9:L9,"学活")+COUNTIF(N9:O9,"特活")+COUNTIF(N9:O9,"学活")+COUNTIF(B11:C11,"特活")+COUNTIF(B11:C11,"学活")+COUNTIF(E11:F11,"特活")+COUNTIF(E11:F11,"学活")+COUNTIF(H11:I11,"特活")+COUNTIF(H11:I11,"学活")+COUNTIF(K11:L11,"特活")+COUNTIF(K11:L11,"学活")+COUNTIF(N11:O11,"特活")+COUNTIF(N11:O11,"学活")+COUNTIF(B13:C13,"特活")+COUNTIF(B13:C13,"学活")+COUNTIF(E13:F13,"特活")+COUNTIF(E13:F13,"学活")+COUNTIF(H13:I13,"特活")+COUNTIF(H13:I13,"学活")+COUNTIF(K13:L13,"特活")+COUNTIF(K13:L13,"学活")+COUNTIF(N13:O13,"特活")+COUNTIF(N13:O13,"学活")+COUNTIF(B15:C15,"特活")+COUNTIF(B15:C15,"学活")+COUNTIF(E15:F15,"特活")+COUNTIF(E15:F15,"学活")+COUNTIF(H15:I15,"特活")+COUNTIF(H15:I15,"学活")+COUNTIF(K15:L15,"特活")+COUNTIF(K15:L15,"学活")+COUNTIF(N15:O15,"特活")+COUNTIF(N15:O15,"学活")+COUNTIF(B17:C17,"特活")+COUNTIF(B17:C17,"学活")+COUNTIF(E17:F17,"特活")+COUNTIF(E17:F17,"学活")+COUNTIF(H17:I17,"特活")+COUNTIF(H17:I17,"学活")+COUNTIF(K17:L17,"特活")+COUNTIF(K17:L17,"学活")+COUNTIF(N17:O17,"特活")+COUNTIF(N17:O17,"学活")=0,"",COUNTIF(B5:C5,"特活")+COUNTIF(B5:C5,"学活")+COUNTIF(E5:F5,"特活")+COUNTIF(E5:F5,"学活")+COUNTIF(H5:I5,"特活")+COUNTIF(H5:I5,"学活")+COUNTIF(K5:L5,"特活")+COUNTIF(K5:L5,"学活")+COUNTIF(N5:O5,"特活")+COUNTIF(N5:O5,"学活")+COUNTIF(B7:C7,"特活")+COUNTIF(B7:C7,"学活")+COUNTIF(E7:F7,"特活")+COUNTIF(E7:F7,"学活")+COUNTIF(H7:I7,"特活")+COUNTIF(H7:I7,"学活")+COUNTIF(K7:L7,"特活")+COUNTIF(K7:L7,"学活")+COUNTIF(N7:O7,"特活")+COUNTIF(N7:O7,"学活")+COUNTIF(B9:C9,"特活")+COUNTIF(B9:C9,"学活")+COUNTIF(E9:F9,"特活")+COUNTIF(E9:F9,"学活")+COUNTIF(H9:I9,"特活")+COUNTIF(H9:I9,"学活")+COUNTIF(K9:L9,"特活")+COUNTIF(K9:L9,"学活")+COUNTIF(N9:O9,"特活")+COUNTIF(N9:O9,"学活")+COUNTIF(B11:C11,"特活")+COUNTIF(B11:C11,"学活")+COUNTIF(E11:F11,"特活")+COUNTIF(E11:F11,"学活")+COUNTIF(H11:I11,"特活")+COUNTIF(H11:I11,"学活")+COUNTIF(K11:L11,"特活")+COUNTIF(K11:L11,"学活")+COUNTIF(N11:O11,"特活")+COUNTIF(N11:O11,"学活")+COUNTIF(B13:C13,"特活")+COUNTIF(B13:C13,"学活")+COUNTIF(E13:F13,"特活")+COUNTIF(E13:F13,"学活")+COUNTIF(H13:I13,"特活")+COUNTIF(H13:I13,"学活")+COUNTIF(K13:L13,"特活")+COUNTIF(K13:L13,"学活")+COUNTIF(N13:O13,"特活")+COUNTIF(N13:O13,"学活")+COUNTIF(B15:C15,"特活")+COUNTIF(B15:C15,"学活")+COUNTIF(E15:F15,"特活")+COUNTIF(E15:F15,"学活")+COUNTIF(H15:I15,"特活")+COUNTIF(H15:I15,"学活")+COUNTIF(K15:L15,"特活")+COUNTIF(K15:L15,"学活")+COUNTIF(N15:O15,"特活")+COUNTIF(N15:O15,"学活")+COUNTIF(B17:C17,"特活")+COUNTIF(B17:C17,"学活")+COUNTIF(E17:F17,"特活")+COUNTIF(E17:F17,"学活")+COUNTIF(H17:I17,"特活")+COUNTIF(H17:I17,"学活")+COUNTIF(K17:L17,"特活")+COUNTIF(K17:L17,"学活")+COUNTIF(N17:O17,"特活")+COUNTIF(N17:O17,"学活"))</f>
        <v/>
      </c>
      <c r="N24" s="21" t="str">
        <f>IF(COUNTIF(B5:C5,N21)+COUNTIF(B5:C5,"*,"&amp;N21&amp;",*")+COUNTIF(E5:F5,N21)+COUNTIF(E5:F5,"*,"&amp;N21&amp;",*")+COUNTIF(H5:I5,N21)+COUNTIF(H5:I5,"*,"&amp;N21&amp;",*")+COUNTIF(K5:L5,N21)+COUNTIF(K5:L5,"*,"&amp;N21&amp;",*")+COUNTIF(N5:O5,N21)+COUNTIF(N5:O5,"*,"&amp;N21&amp;",*")+COUNTIF(B7:C7,N21)+COUNTIF(B7:C7,"*,"&amp;N21&amp;",*")+COUNTIF(E7:F7,N21)+COUNTIF(E7:F7,"*,"&amp;N21&amp;",*")+COUNTIF(H7:I7,N21)+COUNTIF(H7:I7,"*,"&amp;N21&amp;",*")+COUNTIF(K7:L7,N21)+COUNTIF(K7:L7,"*,"&amp;N21&amp;",*")+COUNTIF(N7:O7,N21)+COUNTIF(N7:O7,"*,"&amp;N21&amp;",*")+COUNTIF(B9:C9,N21)+COUNTIF(B9:C9,"*,"&amp;N21&amp;",*")+COUNTIF(E9:F9,N21)+COUNTIF(E9:F9,"*,"&amp;N21&amp;",*")+COUNTIF(H9:I9,N21)+COUNTIF(H9:I9,"*,"&amp;N21&amp;",*")+COUNTIF(K9:L9,N21)+COUNTIF(K9:L9,"*,"&amp;N21&amp;",*")+COUNTIF(N9:O9,N21)+COUNTIF(N9:O9,"*,"&amp;N21&amp;",*")+COUNTIF(B11:C11,N21)+COUNTIF(B11:C11,"*,"&amp;N21&amp;",*")+COUNTIF(E11:F11,N21)+COUNTIF(E11:F11,"*,"&amp;N21&amp;",*")+COUNTIF(H11:I11,N21)+COUNTIF(H11:I11,"*,"&amp;N21&amp;",*")+COUNTIF(K11:L11,N21)+COUNTIF(K11:L11,"*,"&amp;N21&amp;",*")+COUNTIF(N11:O11,N21)+COUNTIF(N11:O11,"*,"&amp;N21&amp;",*")+COUNTIF(B13:C13,N21)+COUNTIF(B13:C13,"*,"&amp;N21&amp;",*")+COUNTIF(E13:F13,N21)+COUNTIF(E13:F13,"*,"&amp;N21&amp;",*")+COUNTIF(H13:I13,N21)+COUNTIF(H13:I13,"*,"&amp;N21&amp;",*")+COUNTIF(K13:L13,N21)+COUNTIF(K13:L13,"*,"&amp;N21&amp;",*")+COUNTIF(N13:O13,N21)+COUNTIF(N13:O13,"*,"&amp;N21&amp;",*")+COUNTIF(B15:C15,N21)+COUNTIF(B15:C15,"*,"&amp;N21&amp;",*")+COUNTIF(E15:F15,N21)+COUNTIF(E15:F15,"*,"&amp;N21&amp;",*")+COUNTIF(H15:I15,N21)+COUNTIF(H15:I15,"*,"&amp;N21&amp;",*")+COUNTIF(K15:L15,N21)+COUNTIF(K15:L15,"*,"&amp;N21&amp;",*")+COUNTIF(N15:O15,N21)+COUNTIF(N15:O15,"*,"&amp;N21&amp;",*")+COUNTIF(B17:C17,N21)+COUNTIF(B17:C17,"*,"&amp;N21&amp;",*")+COUNTIF(E17:F17,N21)+COUNTIF(E17:F17,"*,"&amp;N21&amp;",*")+COUNTIF(H17:I17,N21)+COUNTIF(H17:I17,"*,"&amp;N21&amp;",*")+COUNTIF(K17:L17,N21)+COUNTIF(K17:L17,"*,"&amp;N21&amp;",*")+COUNTIF(N17:O17,N21)+COUNTIF(N17:O17,"*,"&amp;N21&amp;",*")=0,"",COUNTIF(B5:C5,N21)+COUNTIF(B5:C5,"*,"&amp;N21&amp;",*")+COUNTIF(E5:F5,N21)+COUNTIF(E5:F5,"*,"&amp;N21&amp;",*")+COUNTIF(H5:I5,N21)+COUNTIF(H5:I5,"*,"&amp;N21&amp;",*")+COUNTIF(K5:L5,N21)+COUNTIF(K5:L5,"*,"&amp;N21&amp;",*")+COUNTIF(N5:O5,N21)+COUNTIF(N5:O5,"*,"&amp;N21&amp;",*")+COUNTIF(B7:C7,N21)+COUNTIF(B7:C7,"*,"&amp;N21&amp;",*")+COUNTIF(E7:F7,N21)+COUNTIF(E7:F7,"*,"&amp;N21&amp;",*")+COUNTIF(H7:I7,N21)+COUNTIF(H7:I7,"*,"&amp;N21&amp;",*")+COUNTIF(K7:L7,N21)+COUNTIF(K7:L7,"*,"&amp;N21&amp;",*")+COUNTIF(N7:O7,N21)+COUNTIF(N7:O7,"*,"&amp;N21&amp;",*")+COUNTIF(B9:C9,N21)+COUNTIF(B9:C9,"*,"&amp;N21&amp;",*")+COUNTIF(E9:F9,N21)+COUNTIF(E9:F9,"*,"&amp;N21&amp;",*")+COUNTIF(H9:I9,N21)+COUNTIF(H9:I9,"*,"&amp;N21&amp;",*")+COUNTIF(K9:L9,N21)+COUNTIF(K9:L9,"*,"&amp;N21&amp;",*")+COUNTIF(N9:O9,N21)+COUNTIF(N9:O9,"*,"&amp;N21&amp;",*")+COUNTIF(B11:C11,N21)+COUNTIF(B11:C11,"*,"&amp;N21&amp;",*")+COUNTIF(E11:F11,N21)+COUNTIF(E11:F11,"*,"&amp;N21&amp;",*")+COUNTIF(H11:I11,N21)+COUNTIF(H11:I11,"*,"&amp;N21&amp;",*")+COUNTIF(K11:L11,N21)+COUNTIF(K11:L11,"*,"&amp;N21&amp;",*")+COUNTIF(N11:O11,N21)+COUNTIF(N11:O11,"*,"&amp;N21&amp;",*")+COUNTIF(B13:C13,N21)+COUNTIF(B13:C13,"*,"&amp;N21&amp;",*")+COUNTIF(E13:F13,N21)+COUNTIF(E13:F13,"*,"&amp;N21&amp;",*")+COUNTIF(H13:I13,N21)+COUNTIF(H13:I13,"*,"&amp;N21&amp;",*")+COUNTIF(K13:L13,N21)+COUNTIF(K13:L13,"*,"&amp;N21&amp;",*")+COUNTIF(N13:O13,N21)+COUNTIF(N13:O13,"*,"&amp;N21&amp;",*")+COUNTIF(B15:C15,N21)+COUNTIF(B15:C15,"*,"&amp;N21&amp;",*")+COUNTIF(E15:F15,N21)+COUNTIF(E15:F15,"*,"&amp;N21&amp;",*")+COUNTIF(H15:I15,N21)+COUNTIF(H15:I15,"*,"&amp;N21&amp;",*")+COUNTIF(K15:L15,N21)+COUNTIF(K15:L15,"*,"&amp;N21&amp;",*")+COUNTIF(N15:O15,N21)+COUNTIF(N15:O15,"*,"&amp;N21&amp;",*")+COUNTIF(B17:C17,N21)+COUNTIF(B17:C17,"*,"&amp;N21&amp;",*")+COUNTIF(E17:F17,N21)+COUNTIF(E17:F17,"*,"&amp;N21&amp;",*")+COUNTIF(H17:I17,N21)+COUNTIF(H17:I17,"*,"&amp;N21&amp;",*")+COUNTIF(K17:L17,N21)+COUNTIF(K17:L17,"*,"&amp;N21&amp;",*")+COUNTIF(N17:O17,N21)+COUNTIF(N17:O17,"*,"&amp;N21&amp;",*"))</f>
        <v/>
      </c>
      <c r="O24" s="21" t="str">
        <f>IF(COUNTIF(B5:C5,O21)+COUNTIF(B5:C5,"*,"&amp;O21&amp;",*")+COUNTIF(E5:F5,O21)+COUNTIF(E5:F5,"*,"&amp;O21&amp;",*")+COUNTIF(H5:I5,O21)+COUNTIF(H5:I5,"*,"&amp;O21&amp;",*")+COUNTIF(K5:L5,O21)+COUNTIF(K5:L5,"*,"&amp;O21&amp;",*")+COUNTIF(N5:O5,O21)+COUNTIF(N5:O5,"*,"&amp;O21&amp;",*")+COUNTIF(B7:C7,O21)+COUNTIF(B7:C7,"*,"&amp;O21&amp;",*")+COUNTIF(E7:F7,O21)+COUNTIF(E7:F7,"*,"&amp;O21&amp;",*")+COUNTIF(H7:I7,O21)+COUNTIF(H7:I7,"*,"&amp;O21&amp;",*")+COUNTIF(K7:L7,O21)+COUNTIF(K7:L7,"*,"&amp;O21&amp;",*")+COUNTIF(N7:O7,O21)+COUNTIF(N7:O7,"*,"&amp;O21&amp;",*")+COUNTIF(B9:C9,O21)+COUNTIF(B9:C9,"*,"&amp;O21&amp;",*")+COUNTIF(E9:F9,O21)+COUNTIF(E9:F9,"*,"&amp;O21&amp;",*")+COUNTIF(H9:I9,O21)+COUNTIF(H9:I9,"*,"&amp;O21&amp;",*")+COUNTIF(K9:L9,O21)+COUNTIF(K9:L9,"*,"&amp;O21&amp;",*")+COUNTIF(N9:O9,O21)+COUNTIF(N9:O9,"*,"&amp;O21&amp;",*")+COUNTIF(B11:C11,O21)+COUNTIF(B11:C11,"*,"&amp;O21&amp;",*")+COUNTIF(E11:F11,O21)+COUNTIF(E11:F11,"*,"&amp;O21&amp;",*")+COUNTIF(H11:I11,O21)+COUNTIF(H11:I11,"*,"&amp;O21&amp;",*")+COUNTIF(K11:L11,O21)+COUNTIF(K11:L11,"*,"&amp;O21&amp;",*")+COUNTIF(N11:O11,O21)+COUNTIF(N11:O11,"*,"&amp;O21&amp;",*")+COUNTIF(B13:C13,O21)+COUNTIF(B13:C13,"*,"&amp;O21&amp;",*")+COUNTIF(E13:F13,O21)+COUNTIF(E13:F13,"*,"&amp;O21&amp;",*")+COUNTIF(H13:I13,O21)+COUNTIF(H13:I13,"*,"&amp;O21&amp;",*")+COUNTIF(K13:L13,O21)+COUNTIF(K13:L13,"*,"&amp;O21&amp;",*")+COUNTIF(N13:O13,O21)+COUNTIF(N13:O13,"*,"&amp;O21&amp;",*")+COUNTIF(B15:C15,O21)+COUNTIF(B15:C15,"*,"&amp;O21&amp;",*")+COUNTIF(E15:F15,O21)+COUNTIF(E15:F15,"*,"&amp;O21&amp;",*")+COUNTIF(H15:I15,O21)+COUNTIF(H15:I15,"*,"&amp;O21&amp;",*")+COUNTIF(K15:L15,O21)+COUNTIF(K15:L15,"*,"&amp;O21&amp;",*")+COUNTIF(N15:O15,O21)+COUNTIF(N15:O15,"*,"&amp;O21&amp;",*")+COUNTIF(B17:C17,O21)+COUNTIF(B17:C17,"*,"&amp;O21&amp;",*")+COUNTIF(E17:F17,O21)+COUNTIF(E17:F17,"*,"&amp;O21&amp;",*")+COUNTIF(H17:I17,O21)+COUNTIF(H17:I17,"*,"&amp;O21&amp;",*")+COUNTIF(K17:L17,O21)+COUNTIF(K17:L17,"*,"&amp;O21&amp;",*")+COUNTIF(N17:O17,O21)+COUNTIF(N17:O17,"*,"&amp;O21&amp;",*")=0,"",COUNTIF(B5:C5,O21)+COUNTIF(B5:C5,"*,"&amp;O21&amp;",*")+COUNTIF(E5:F5,O21)+COUNTIF(E5:F5,"*,"&amp;O21&amp;",*")+COUNTIF(H5:I5,O21)+COUNTIF(H5:I5,"*,"&amp;O21&amp;",*")+COUNTIF(K5:L5,O21)+COUNTIF(K5:L5,"*,"&amp;O21&amp;",*")+COUNTIF(N5:O5,O21)+COUNTIF(N5:O5,"*,"&amp;O21&amp;",*")+COUNTIF(B7:C7,O21)+COUNTIF(B7:C7,"*,"&amp;O21&amp;",*")+COUNTIF(E7:F7,O21)+COUNTIF(E7:F7,"*,"&amp;O21&amp;",*")+COUNTIF(H7:I7,O21)+COUNTIF(H7:I7,"*,"&amp;O21&amp;",*")+COUNTIF(K7:L7,O21)+COUNTIF(K7:L7,"*,"&amp;O21&amp;",*")+COUNTIF(N7:O7,O21)+COUNTIF(N7:O7,"*,"&amp;O21&amp;",*")+COUNTIF(B9:C9,O21)+COUNTIF(B9:C9,"*,"&amp;O21&amp;",*")+COUNTIF(E9:F9,O21)+COUNTIF(E9:F9,"*,"&amp;O21&amp;",*")+COUNTIF(H9:I9,O21)+COUNTIF(H9:I9,"*,"&amp;O21&amp;",*")+COUNTIF(K9:L9,O21)+COUNTIF(K9:L9,"*,"&amp;O21&amp;",*")+COUNTIF(N9:O9,O21)+COUNTIF(N9:O9,"*,"&amp;O21&amp;",*")+COUNTIF(B11:C11,O21)+COUNTIF(B11:C11,"*,"&amp;O21&amp;",*")+COUNTIF(E11:F11,O21)+COUNTIF(E11:F11,"*,"&amp;O21&amp;",*")+COUNTIF(H11:I11,O21)+COUNTIF(H11:I11,"*,"&amp;O21&amp;",*")+COUNTIF(K11:L11,O21)+COUNTIF(K11:L11,"*,"&amp;O21&amp;",*")+COUNTIF(N11:O11,O21)+COUNTIF(N11:O11,"*,"&amp;O21&amp;",*")+COUNTIF(B13:C13,O21)+COUNTIF(B13:C13,"*,"&amp;O21&amp;",*")+COUNTIF(E13:F13,O21)+COUNTIF(E13:F13,"*,"&amp;O21&amp;",*")+COUNTIF(H13:I13,O21)+COUNTIF(H13:I13,"*,"&amp;O21&amp;",*")+COUNTIF(K13:L13,O21)+COUNTIF(K13:L13,"*,"&amp;O21&amp;",*")+COUNTIF(N13:O13,O21)+COUNTIF(N13:O13,"*,"&amp;O21&amp;",*")+COUNTIF(B15:C15,O21)+COUNTIF(B15:C15,"*,"&amp;O21&amp;",*")+COUNTIF(E15:F15,O21)+COUNTIF(E15:F15,"*,"&amp;O21&amp;",*")+COUNTIF(H15:I15,O21)+COUNTIF(H15:I15,"*,"&amp;O21&amp;",*")+COUNTIF(K15:L15,O21)+COUNTIF(K15:L15,"*,"&amp;O21&amp;",*")+COUNTIF(N15:O15,O21)+COUNTIF(N15:O15,"*,"&amp;O21&amp;",*")+COUNTIF(B17:C17,O21)+COUNTIF(B17:C17,"*,"&amp;O21&amp;",*")+COUNTIF(E17:F17,O21)+COUNTIF(E17:F17,"*,"&amp;O21&amp;",*")+COUNTIF(H17:I17,O21)+COUNTIF(H17:I17,"*,"&amp;O21&amp;",*")+COUNTIF(K17:L17,O21)+COUNTIF(K17:L17,"*,"&amp;O21&amp;",*")+COUNTIF(N17:O17,O21)+COUNTIF(N17:O17,"*,"&amp;O21&amp;",*"))</f>
        <v/>
      </c>
      <c r="P24" s="22" t="str">
        <f>IF(SUM(B24:O24)=0,"",SUM(B24:O24))</f>
        <v/>
      </c>
    </row>
    <row r="25" spans="1:16" ht="13.5" customHeight="1" x14ac:dyDescent="0.2">
      <c r="A25" s="23" t="s">
        <v>63</v>
      </c>
      <c r="B25" s="26"/>
      <c r="C25" s="26"/>
      <c r="D25" s="26"/>
      <c r="E25" s="26"/>
      <c r="F25" s="26"/>
      <c r="G25" s="26"/>
      <c r="H25" s="26"/>
      <c r="I25" s="26"/>
      <c r="J25" s="26"/>
      <c r="K25" s="26"/>
      <c r="L25" s="26"/>
      <c r="M25" s="26"/>
      <c r="N25" s="26"/>
      <c r="O25" s="24"/>
      <c r="P25" s="18" t="str">
        <f>IF(SUM(B25:O25)=0,"",SUM(B25:O25))</f>
        <v/>
      </c>
    </row>
  </sheetData>
  <sheetProtection sheet="1" objects="1" scenarios="1"/>
  <mergeCells count="104">
    <mergeCell ref="B19:D19"/>
    <mergeCell ref="E19:G19"/>
    <mergeCell ref="H19:J19"/>
    <mergeCell ref="K19:M19"/>
    <mergeCell ref="N19:P19"/>
    <mergeCell ref="A23:A24"/>
    <mergeCell ref="H17:I17"/>
    <mergeCell ref="H18:J18"/>
    <mergeCell ref="K17:L17"/>
    <mergeCell ref="K18:M18"/>
    <mergeCell ref="N17:O17"/>
    <mergeCell ref="N18:P18"/>
    <mergeCell ref="H16:J16"/>
    <mergeCell ref="N11:O11"/>
    <mergeCell ref="N12:P12"/>
    <mergeCell ref="K15:L15"/>
    <mergeCell ref="K16:M16"/>
    <mergeCell ref="N15:O15"/>
    <mergeCell ref="N16:P16"/>
    <mergeCell ref="A17:A18"/>
    <mergeCell ref="B17:C17"/>
    <mergeCell ref="B18:D18"/>
    <mergeCell ref="E17:F17"/>
    <mergeCell ref="E18:G18"/>
    <mergeCell ref="A15:A16"/>
    <mergeCell ref="B15:C15"/>
    <mergeCell ref="B16:D16"/>
    <mergeCell ref="E15:F15"/>
    <mergeCell ref="E16:G16"/>
    <mergeCell ref="H15:I15"/>
    <mergeCell ref="N9:O9"/>
    <mergeCell ref="N10:P10"/>
    <mergeCell ref="K13:L13"/>
    <mergeCell ref="K14:M14"/>
    <mergeCell ref="N13:O13"/>
    <mergeCell ref="N14:P14"/>
    <mergeCell ref="A13:A14"/>
    <mergeCell ref="B13:C13"/>
    <mergeCell ref="B14:D14"/>
    <mergeCell ref="E13:F13"/>
    <mergeCell ref="E14:G14"/>
    <mergeCell ref="H13:I13"/>
    <mergeCell ref="H14:J14"/>
    <mergeCell ref="B8:D8"/>
    <mergeCell ref="E7:F7"/>
    <mergeCell ref="E8:G8"/>
    <mergeCell ref="H7:I7"/>
    <mergeCell ref="H8:J8"/>
    <mergeCell ref="H11:I11"/>
    <mergeCell ref="H12:J12"/>
    <mergeCell ref="K11:L11"/>
    <mergeCell ref="K12:M12"/>
    <mergeCell ref="H10:J10"/>
    <mergeCell ref="K9:L9"/>
    <mergeCell ref="K10:M10"/>
    <mergeCell ref="N5:O5"/>
    <mergeCell ref="N6:P6"/>
    <mergeCell ref="B4:D4"/>
    <mergeCell ref="E4:G4"/>
    <mergeCell ref="H4:J4"/>
    <mergeCell ref="K4:M4"/>
    <mergeCell ref="N4:P4"/>
    <mergeCell ref="A11:A12"/>
    <mergeCell ref="B11:C11"/>
    <mergeCell ref="B12:D12"/>
    <mergeCell ref="E11:F11"/>
    <mergeCell ref="E12:G12"/>
    <mergeCell ref="K7:L7"/>
    <mergeCell ref="K8:M8"/>
    <mergeCell ref="N7:O7"/>
    <mergeCell ref="N8:P8"/>
    <mergeCell ref="A9:A10"/>
    <mergeCell ref="B9:C9"/>
    <mergeCell ref="B10:D10"/>
    <mergeCell ref="E9:F9"/>
    <mergeCell ref="E10:G10"/>
    <mergeCell ref="H9:I9"/>
    <mergeCell ref="A7:A8"/>
    <mergeCell ref="B7:C7"/>
    <mergeCell ref="A5:A6"/>
    <mergeCell ref="B5:C5"/>
    <mergeCell ref="B6:D6"/>
    <mergeCell ref="E5:F5"/>
    <mergeCell ref="E6:G6"/>
    <mergeCell ref="H2:J2"/>
    <mergeCell ref="H3:J3"/>
    <mergeCell ref="K2:M2"/>
    <mergeCell ref="K3:M3"/>
    <mergeCell ref="H5:I5"/>
    <mergeCell ref="H6:J6"/>
    <mergeCell ref="K5:L5"/>
    <mergeCell ref="K6:M6"/>
    <mergeCell ref="N2:P2"/>
    <mergeCell ref="N3:P3"/>
    <mergeCell ref="A1:G1"/>
    <mergeCell ref="I1:J1"/>
    <mergeCell ref="K1:L1"/>
    <mergeCell ref="M1:N1"/>
    <mergeCell ref="O1:P1"/>
    <mergeCell ref="A2:A3"/>
    <mergeCell ref="B2:D2"/>
    <mergeCell ref="B3:D3"/>
    <mergeCell ref="E2:G2"/>
    <mergeCell ref="E3:G3"/>
  </mergeCells>
  <phoneticPr fontId="5"/>
  <dataValidations count="1">
    <dataValidation type="list" allowBlank="1" showInputMessage="1" sqref="D5 P17 M17 J17 G17 D17 P15 M15 J15 G15 D15 P13 M13 J13 G13 D13 P11 M11 J11 G11 D11 P9 M9 J9 G9 D9 P7 M7 J7 G7 D7 P5 M5 J5 G5" xr:uid="{98971C13-E443-4945-8CC3-BF2DB42E6EBE}">
      <formula1>"×,月1,月2,月3,月4,月5,月6,月7,火1,火2,火3,火4,火5,火6,火7,水1,水2,水3,水4,水5,水6,水7,木1,木2,木3,木4,木5,木6,木7,金1,金2,金3,金4,金5,金6,金7"</formula1>
    </dataValidation>
  </dataValidations>
  <printOptions horizontalCentered="1"/>
  <pageMargins left="0.78740157480314965" right="0.78740157480314965" top="0.78740157480314965" bottom="0.78740157480314965" header="0" footer="0"/>
  <pageSetup paperSize="9" scale="93" orientation="portrait" horizontalDpi="360" verticalDpi="360" r:id="rId1"/>
  <extLst>
    <ext xmlns:x14="http://schemas.microsoft.com/office/spreadsheetml/2009/9/main" uri="{CCE6A557-97BC-4b89-ADB6-D9C93CAAB3DF}">
      <x14:dataValidations xmlns:xm="http://schemas.microsoft.com/office/excel/2006/main" count="1">
        <x14:dataValidation type="list" allowBlank="1" showInputMessage="1" xr:uid="{7B5AD983-FD41-4649-B2C5-54982E71DA28}">
          <x14:formula1>
            <xm:f>基本設定!$B$6:$B$20</xm:f>
          </x14:formula1>
          <xm:sqref>B5 N19 K19 H19 E19 B19 N17 K17 H17 E17 B17 N15 K15 H15 E15 B15 N13 K13 H13 E13 B13 N11 K11 H11 E11 B11 N9 K9 H9 E9 B9 N7 K7 H7 E7 B7 N5 K5 H5 E5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78B17E-87B7-4EFE-86E1-F03B92397EED}">
  <sheetPr>
    <tabColor rgb="FFC0392B"/>
    <pageSetUpPr fitToPage="1"/>
  </sheetPr>
  <dimension ref="A1:P25"/>
  <sheetViews>
    <sheetView topLeftCell="A7" workbookViewId="0">
      <selection activeCell="O25" sqref="O25"/>
    </sheetView>
  </sheetViews>
  <sheetFormatPr defaultColWidth="8.7265625" defaultRowHeight="13" x14ac:dyDescent="0.2"/>
  <cols>
    <col min="1" max="1" width="5.453125" customWidth="1"/>
    <col min="2" max="16" width="5.7265625" customWidth="1"/>
  </cols>
  <sheetData>
    <row r="1" spans="1:16" ht="50.15" customHeight="1" x14ac:dyDescent="0.2">
      <c r="A1" s="49" t="s">
        <v>65</v>
      </c>
      <c r="B1" s="50"/>
      <c r="C1" s="50"/>
      <c r="D1" s="50"/>
      <c r="E1" s="50"/>
      <c r="F1" s="50"/>
      <c r="G1" s="50"/>
      <c r="H1" s="8" t="s">
        <v>46</v>
      </c>
      <c r="I1" s="51" t="s">
        <v>47</v>
      </c>
      <c r="J1" s="52"/>
      <c r="K1" s="51" t="s">
        <v>48</v>
      </c>
      <c r="L1" s="52"/>
      <c r="M1" s="51" t="s">
        <v>49</v>
      </c>
      <c r="N1" s="52"/>
      <c r="O1" s="51" t="s">
        <v>50</v>
      </c>
      <c r="P1" s="52"/>
    </row>
    <row r="2" spans="1:16" ht="15.65" customHeight="1" x14ac:dyDescent="0.2">
      <c r="A2" s="53" t="s">
        <v>51</v>
      </c>
      <c r="B2" s="55" t="s">
        <v>40</v>
      </c>
      <c r="C2" s="55"/>
      <c r="D2" s="55"/>
      <c r="E2" s="56" t="s">
        <v>41</v>
      </c>
      <c r="F2" s="56"/>
      <c r="G2" s="56"/>
      <c r="H2" s="57" t="s">
        <v>42</v>
      </c>
      <c r="I2" s="57"/>
      <c r="J2" s="57"/>
      <c r="K2" s="58" t="s">
        <v>43</v>
      </c>
      <c r="L2" s="58"/>
      <c r="M2" s="58"/>
      <c r="N2" s="38" t="s">
        <v>44</v>
      </c>
      <c r="O2" s="38"/>
      <c r="P2" s="38"/>
    </row>
    <row r="3" spans="1:16" ht="15" customHeight="1" x14ac:dyDescent="0.2">
      <c r="A3" s="54"/>
      <c r="B3" s="39" t="s">
        <v>66</v>
      </c>
      <c r="C3" s="39"/>
      <c r="D3" s="39"/>
      <c r="E3" s="40" t="s">
        <v>67</v>
      </c>
      <c r="F3" s="40"/>
      <c r="G3" s="40"/>
      <c r="H3" s="41" t="s">
        <v>68</v>
      </c>
      <c r="I3" s="41"/>
      <c r="J3" s="41"/>
      <c r="K3" s="42" t="s">
        <v>69</v>
      </c>
      <c r="L3" s="42"/>
      <c r="M3" s="42"/>
      <c r="N3" s="43" t="s">
        <v>70</v>
      </c>
      <c r="O3" s="43"/>
      <c r="P3" s="43"/>
    </row>
    <row r="4" spans="1:16" ht="55" customHeight="1" x14ac:dyDescent="0.2">
      <c r="A4" s="9" t="s">
        <v>57</v>
      </c>
      <c r="B4" s="44" t="s">
        <v>75</v>
      </c>
      <c r="C4" s="44"/>
      <c r="D4" s="44"/>
      <c r="E4" s="45" t="s">
        <v>76</v>
      </c>
      <c r="F4" s="45"/>
      <c r="G4" s="45"/>
      <c r="H4" s="46" t="s">
        <v>77</v>
      </c>
      <c r="I4" s="46"/>
      <c r="J4" s="46"/>
      <c r="K4" s="47" t="s">
        <v>80</v>
      </c>
      <c r="L4" s="47"/>
      <c r="M4" s="47"/>
      <c r="N4" s="48" t="s">
        <v>83</v>
      </c>
      <c r="O4" s="48"/>
      <c r="P4" s="48"/>
    </row>
    <row r="5" spans="1:16" ht="18" customHeight="1" x14ac:dyDescent="0.2">
      <c r="A5" s="37">
        <v>1</v>
      </c>
      <c r="B5" s="35" t="s">
        <v>20</v>
      </c>
      <c r="C5" s="35"/>
      <c r="D5" s="25"/>
      <c r="E5" s="35" t="s">
        <v>71</v>
      </c>
      <c r="F5" s="35"/>
      <c r="G5" s="25"/>
      <c r="H5" s="35" t="s">
        <v>20</v>
      </c>
      <c r="I5" s="35"/>
      <c r="J5" s="25"/>
      <c r="K5" s="35" t="s">
        <v>20</v>
      </c>
      <c r="L5" s="35"/>
      <c r="M5" s="25"/>
      <c r="N5" s="35" t="s">
        <v>20</v>
      </c>
      <c r="O5" s="35"/>
      <c r="P5" s="25"/>
    </row>
    <row r="6" spans="1:16" ht="62.15" customHeight="1" x14ac:dyDescent="0.2">
      <c r="A6" s="37"/>
      <c r="B6" s="36" t="s">
        <v>72</v>
      </c>
      <c r="C6" s="36"/>
      <c r="D6" s="36"/>
      <c r="E6" s="36"/>
      <c r="F6" s="36"/>
      <c r="G6" s="36"/>
      <c r="H6" s="36" t="s">
        <v>77</v>
      </c>
      <c r="I6" s="36"/>
      <c r="J6" s="36"/>
      <c r="K6" s="36" t="s">
        <v>80</v>
      </c>
      <c r="L6" s="36"/>
      <c r="M6" s="36"/>
      <c r="N6" s="36" t="s">
        <v>83</v>
      </c>
      <c r="O6" s="36"/>
      <c r="P6" s="36"/>
    </row>
    <row r="7" spans="1:16" ht="18" customHeight="1" x14ac:dyDescent="0.2">
      <c r="A7" s="37">
        <v>2</v>
      </c>
      <c r="B7" s="35" t="s">
        <v>20</v>
      </c>
      <c r="C7" s="35"/>
      <c r="D7" s="25"/>
      <c r="E7" s="35" t="s">
        <v>71</v>
      </c>
      <c r="F7" s="35"/>
      <c r="G7" s="25"/>
      <c r="H7" s="35" t="s">
        <v>20</v>
      </c>
      <c r="I7" s="35"/>
      <c r="J7" s="25"/>
      <c r="K7" s="35" t="s">
        <v>23</v>
      </c>
      <c r="L7" s="35"/>
      <c r="M7" s="25"/>
      <c r="N7" s="35" t="s">
        <v>23</v>
      </c>
      <c r="O7" s="35"/>
      <c r="P7" s="25"/>
    </row>
    <row r="8" spans="1:16" ht="62.15" customHeight="1" x14ac:dyDescent="0.2">
      <c r="A8" s="37"/>
      <c r="B8" s="36" t="s">
        <v>73</v>
      </c>
      <c r="C8" s="36"/>
      <c r="D8" s="36"/>
      <c r="E8" s="36"/>
      <c r="F8" s="36"/>
      <c r="G8" s="36"/>
      <c r="H8" s="36" t="s">
        <v>78</v>
      </c>
      <c r="I8" s="36"/>
      <c r="J8" s="36"/>
      <c r="K8" s="36" t="s">
        <v>81</v>
      </c>
      <c r="L8" s="36"/>
      <c r="M8" s="36"/>
      <c r="N8" s="36" t="s">
        <v>84</v>
      </c>
      <c r="O8" s="36"/>
      <c r="P8" s="36"/>
    </row>
    <row r="9" spans="1:16" ht="18" customHeight="1" x14ac:dyDescent="0.2">
      <c r="A9" s="37">
        <v>3</v>
      </c>
      <c r="B9" s="35" t="s">
        <v>23</v>
      </c>
      <c r="C9" s="35"/>
      <c r="D9" s="25"/>
      <c r="E9" s="35" t="s">
        <v>71</v>
      </c>
      <c r="F9" s="35"/>
      <c r="G9" s="25"/>
      <c r="H9" s="35" t="s">
        <v>23</v>
      </c>
      <c r="I9" s="35"/>
      <c r="J9" s="25"/>
      <c r="K9" s="35" t="s">
        <v>23</v>
      </c>
      <c r="L9" s="35"/>
      <c r="M9" s="25"/>
      <c r="N9" s="35" t="s">
        <v>23</v>
      </c>
      <c r="O9" s="35"/>
      <c r="P9" s="25"/>
    </row>
    <row r="10" spans="1:16" ht="62.15" customHeight="1" x14ac:dyDescent="0.2">
      <c r="A10" s="37"/>
      <c r="B10" s="36" t="s">
        <v>74</v>
      </c>
      <c r="C10" s="36"/>
      <c r="D10" s="36"/>
      <c r="E10" s="36"/>
      <c r="F10" s="36"/>
      <c r="G10" s="36"/>
      <c r="H10" s="36" t="s">
        <v>79</v>
      </c>
      <c r="I10" s="36"/>
      <c r="J10" s="36"/>
      <c r="K10" s="36" t="s">
        <v>82</v>
      </c>
      <c r="L10" s="36"/>
      <c r="M10" s="36"/>
      <c r="N10" s="36" t="s">
        <v>85</v>
      </c>
      <c r="O10" s="36"/>
      <c r="P10" s="36"/>
    </row>
    <row r="11" spans="1:16" ht="18" customHeight="1" x14ac:dyDescent="0.2">
      <c r="A11" s="37">
        <v>4</v>
      </c>
      <c r="B11" s="35" t="s">
        <v>71</v>
      </c>
      <c r="C11" s="35"/>
      <c r="D11" s="25"/>
      <c r="E11" s="35" t="s">
        <v>71</v>
      </c>
      <c r="F11" s="35"/>
      <c r="G11" s="25"/>
      <c r="H11" s="35" t="s">
        <v>71</v>
      </c>
      <c r="I11" s="35"/>
      <c r="J11" s="25"/>
      <c r="K11" s="35" t="s">
        <v>23</v>
      </c>
      <c r="L11" s="35"/>
      <c r="M11" s="25"/>
      <c r="N11" s="35" t="s">
        <v>23</v>
      </c>
      <c r="O11" s="35"/>
      <c r="P11" s="25"/>
    </row>
    <row r="12" spans="1:16" ht="62.15" customHeight="1" x14ac:dyDescent="0.2">
      <c r="A12" s="37"/>
      <c r="B12" s="36"/>
      <c r="C12" s="36"/>
      <c r="D12" s="36"/>
      <c r="E12" s="36"/>
      <c r="F12" s="36"/>
      <c r="G12" s="36"/>
      <c r="H12" s="36"/>
      <c r="I12" s="36"/>
      <c r="J12" s="36"/>
      <c r="K12" s="36" t="s">
        <v>87</v>
      </c>
      <c r="L12" s="36"/>
      <c r="M12" s="36"/>
      <c r="N12" s="36" t="s">
        <v>86</v>
      </c>
      <c r="O12" s="36"/>
      <c r="P12" s="36"/>
    </row>
    <row r="13" spans="1:16" ht="18" customHeight="1" x14ac:dyDescent="0.2">
      <c r="A13" s="37">
        <v>5</v>
      </c>
      <c r="B13" s="35" t="s">
        <v>71</v>
      </c>
      <c r="C13" s="35"/>
      <c r="D13" s="25"/>
      <c r="E13" s="35" t="s">
        <v>71</v>
      </c>
      <c r="F13" s="35"/>
      <c r="G13" s="25"/>
      <c r="H13" s="35" t="s">
        <v>71</v>
      </c>
      <c r="I13" s="35"/>
      <c r="J13" s="25"/>
      <c r="K13" s="35" t="s">
        <v>71</v>
      </c>
      <c r="L13" s="35"/>
      <c r="M13" s="25"/>
      <c r="N13" s="35" t="s">
        <v>71</v>
      </c>
      <c r="O13" s="35"/>
      <c r="P13" s="25"/>
    </row>
    <row r="14" spans="1:16" ht="62.15" customHeight="1" x14ac:dyDescent="0.2">
      <c r="A14" s="37"/>
      <c r="B14" s="36"/>
      <c r="C14" s="36"/>
      <c r="D14" s="36"/>
      <c r="E14" s="36"/>
      <c r="F14" s="36"/>
      <c r="G14" s="36"/>
      <c r="H14" s="36"/>
      <c r="I14" s="36"/>
      <c r="J14" s="36"/>
      <c r="K14" s="36"/>
      <c r="L14" s="36"/>
      <c r="M14" s="36"/>
      <c r="N14" s="36"/>
      <c r="O14" s="36"/>
      <c r="P14" s="36"/>
    </row>
    <row r="15" spans="1:16" ht="18" customHeight="1" x14ac:dyDescent="0.2">
      <c r="A15" s="37">
        <v>6</v>
      </c>
      <c r="B15" s="35" t="s">
        <v>71</v>
      </c>
      <c r="C15" s="35"/>
      <c r="D15" s="25"/>
      <c r="E15" s="35" t="s">
        <v>71</v>
      </c>
      <c r="F15" s="35"/>
      <c r="G15" s="25"/>
      <c r="H15" s="35" t="s">
        <v>71</v>
      </c>
      <c r="I15" s="35"/>
      <c r="J15" s="25"/>
      <c r="K15" s="35" t="s">
        <v>71</v>
      </c>
      <c r="L15" s="35"/>
      <c r="M15" s="25"/>
      <c r="N15" s="35" t="s">
        <v>71</v>
      </c>
      <c r="O15" s="35"/>
      <c r="P15" s="25"/>
    </row>
    <row r="16" spans="1:16" ht="62.15" customHeight="1" x14ac:dyDescent="0.2">
      <c r="A16" s="37"/>
      <c r="B16" s="36"/>
      <c r="C16" s="36"/>
      <c r="D16" s="36"/>
      <c r="E16" s="36"/>
      <c r="F16" s="36"/>
      <c r="G16" s="36"/>
      <c r="H16" s="36"/>
      <c r="I16" s="36"/>
      <c r="J16" s="36"/>
      <c r="K16" s="36"/>
      <c r="L16" s="36"/>
      <c r="M16" s="36"/>
      <c r="N16" s="36"/>
      <c r="O16" s="36"/>
      <c r="P16" s="36"/>
    </row>
    <row r="17" spans="1:16" ht="18" customHeight="1" x14ac:dyDescent="0.2">
      <c r="A17" s="37">
        <v>7</v>
      </c>
      <c r="B17" s="35" t="s">
        <v>71</v>
      </c>
      <c r="C17" s="35"/>
      <c r="D17" s="25"/>
      <c r="E17" s="35" t="s">
        <v>71</v>
      </c>
      <c r="F17" s="35"/>
      <c r="G17" s="25"/>
      <c r="H17" s="35" t="s">
        <v>71</v>
      </c>
      <c r="I17" s="35"/>
      <c r="J17" s="25"/>
      <c r="K17" s="35" t="s">
        <v>71</v>
      </c>
      <c r="L17" s="35"/>
      <c r="M17" s="25"/>
      <c r="N17" s="35" t="s">
        <v>71</v>
      </c>
      <c r="O17" s="35"/>
      <c r="P17" s="25"/>
    </row>
    <row r="18" spans="1:16" ht="62.15" customHeight="1" x14ac:dyDescent="0.2">
      <c r="A18" s="37"/>
      <c r="B18" s="36"/>
      <c r="C18" s="36"/>
      <c r="D18" s="36"/>
      <c r="E18" s="36"/>
      <c r="F18" s="36"/>
      <c r="G18" s="36"/>
      <c r="H18" s="36"/>
      <c r="I18" s="36"/>
      <c r="J18" s="36"/>
      <c r="K18" s="36"/>
      <c r="L18" s="36"/>
      <c r="M18" s="36"/>
      <c r="N18" s="36"/>
      <c r="O18" s="36"/>
      <c r="P18" s="36"/>
    </row>
    <row r="19" spans="1:16" ht="55" customHeight="1" x14ac:dyDescent="0.2">
      <c r="A19" s="10" t="s">
        <v>58</v>
      </c>
      <c r="B19" s="32"/>
      <c r="C19" s="32"/>
      <c r="D19" s="32"/>
      <c r="E19" s="32"/>
      <c r="F19" s="32"/>
      <c r="G19" s="32"/>
      <c r="H19" s="32"/>
      <c r="I19" s="32"/>
      <c r="J19" s="32"/>
      <c r="K19" s="32"/>
      <c r="L19" s="32"/>
      <c r="M19" s="32"/>
      <c r="N19" s="32"/>
      <c r="O19" s="32"/>
      <c r="P19" s="32"/>
    </row>
    <row r="20" spans="1:16" hidden="1" x14ac:dyDescent="0.2">
      <c r="A20" s="11"/>
      <c r="B20" s="11"/>
      <c r="C20" s="11"/>
      <c r="D20" s="11"/>
      <c r="E20" s="11"/>
      <c r="F20" s="11"/>
      <c r="G20" s="11"/>
      <c r="H20" s="11"/>
      <c r="I20" s="11"/>
      <c r="J20" s="11"/>
      <c r="K20" s="11"/>
      <c r="L20" s="11"/>
      <c r="M20" s="11"/>
      <c r="N20" s="11"/>
      <c r="O20" s="11"/>
      <c r="P20" s="11"/>
    </row>
    <row r="21" spans="1:16" ht="13.5" customHeight="1" x14ac:dyDescent="0.2">
      <c r="A21" s="12" t="s">
        <v>59</v>
      </c>
      <c r="B21" s="12" t="str">
        <f>IF(基本設定!B6="","",基本設定!B6)</f>
        <v>2-1</v>
      </c>
      <c r="C21" s="12" t="str">
        <f>IF(基本設定!B7="","",基本設定!B7)</f>
        <v>2-4</v>
      </c>
      <c r="D21" s="12" t="str">
        <f>IF(基本設定!B8="","",基本設定!B8)</f>
        <v>3-5</v>
      </c>
      <c r="E21" s="12" t="str">
        <f>IF(基本設定!B9="","",基本設定!B9)</f>
        <v>2-2数t</v>
      </c>
      <c r="F21" s="12" t="str">
        <f>IF(基本設定!B10="","",基本設定!B10)</f>
        <v>2-3数t</v>
      </c>
      <c r="G21" s="12" t="str">
        <f>IF(基本設定!B11="","",基本設定!B11)</f>
        <v>2-5数t</v>
      </c>
      <c r="H21" s="12"/>
      <c r="I21" s="12"/>
      <c r="J21" s="12"/>
      <c r="K21" s="12"/>
      <c r="L21" s="12"/>
      <c r="M21" s="13" t="s">
        <v>64</v>
      </c>
      <c r="N21" s="12" t="s">
        <v>25</v>
      </c>
      <c r="O21" s="12" t="s">
        <v>27</v>
      </c>
      <c r="P21" s="14" t="s">
        <v>60</v>
      </c>
    </row>
    <row r="22" spans="1:16" ht="13.5" customHeight="1" x14ac:dyDescent="0.2">
      <c r="A22" s="15" t="s">
        <v>61</v>
      </c>
      <c r="B22" s="16">
        <f>IF(B21="","",IFERROR(VALUE(VLOOKUP(B21,基本設定!$A$23:$B$35,2,FALSE())),""))</f>
        <v>4</v>
      </c>
      <c r="C22" s="16">
        <f>IF(C21="","",IFERROR(VALUE(VLOOKUP(C21,基本設定!$A$23:$B$35,2,FALSE())),""))</f>
        <v>4</v>
      </c>
      <c r="D22" s="16">
        <f>IF(D21="","",IFERROR(VALUE(VLOOKUP(D21,基本設定!$A$23:$B$35,2,FALSE())),""))</f>
        <v>4</v>
      </c>
      <c r="E22" s="16">
        <f>IF(E21="","",IFERROR(VALUE(VLOOKUP(E21,基本設定!$A$23:$B$35,2,FALSE())),""))</f>
        <v>1</v>
      </c>
      <c r="F22" s="16">
        <f>IF(F21="","",IFERROR(VALUE(VLOOKUP(F21,基本設定!$A$23:$B$35,2,FALSE())),""))</f>
        <v>1</v>
      </c>
      <c r="G22" s="16">
        <f>IF(G21="","",IFERROR(VALUE(VLOOKUP(G21,基本設定!$A$23:$B$35,2,FALSE())),""))</f>
        <v>1</v>
      </c>
      <c r="H22" s="17"/>
      <c r="I22" s="17"/>
      <c r="J22" s="17"/>
      <c r="K22" s="17"/>
      <c r="L22" s="17"/>
      <c r="M22" s="17">
        <v>1</v>
      </c>
      <c r="N22" s="17">
        <f>IF(N21="","",IFERROR(VALUE(VLOOKUP(N21,基本設定!$A$23:$B$35,2,FALSE())),""))</f>
        <v>1</v>
      </c>
      <c r="O22" s="17">
        <f>IF(O21="","",IFERROR(VALUE(VLOOKUP(O21,基本設定!$A$23:$B$35,2,FALSE())),""))</f>
        <v>2</v>
      </c>
      <c r="P22" s="18">
        <f>IF(SUM(B22:O22)=0,"",SUM(B22:O22))</f>
        <v>19</v>
      </c>
    </row>
    <row r="23" spans="1:16" ht="13.5" customHeight="1" x14ac:dyDescent="0.2">
      <c r="A23" s="33" t="s">
        <v>62</v>
      </c>
      <c r="B23" s="19" t="str">
        <f>IF(B21="","",IF(B24="","",B24-(SUMPRODUCT((B5:C5=B21)*(D5="×"))+SUMPRODUCT((E5:F5=B21)*(G5="×"))+SUMPRODUCT((H5:I5=B21)*(J5="×"))+SUMPRODUCT((K5:L5=B21)*(M5="×"))+SUMPRODUCT((N5:O5=B21)*(P5="×"))+SUMPRODUCT((B7:C7=B21)*(D7="×"))+SUMPRODUCT((E7:F7=B21)*(G7="×"))+SUMPRODUCT((H7:I7=B21)*(J7="×"))+SUMPRODUCT((K7:L7=B21)*(M7="×"))+SUMPRODUCT((N7:O7=B21)*(P7="×"))+SUMPRODUCT((B9:C9=B21)*(D9="×"))+SUMPRODUCT((E9:F9=B21)*(G9="×"))+SUMPRODUCT((H9:I9=B21)*(J9="×"))+SUMPRODUCT((K9:L9=B21)*(M9="×"))+SUMPRODUCT((N9:O9=B21)*(P9="×"))+SUMPRODUCT((B11:C11=B21)*(D11="×"))+SUMPRODUCT((E11:F11=B21)*(G11="×"))+SUMPRODUCT((H11:I11=B21)*(J11="×"))+SUMPRODUCT((K11:L11=B21)*(M11="×"))+SUMPRODUCT((N11:O11=B21)*(P11="×"))+SUMPRODUCT((B13:C13=B21)*(D13="×"))+SUMPRODUCT((E13:F13=B21)*(G13="×"))+SUMPRODUCT((H13:I13=B21)*(J13="×"))+SUMPRODUCT((K13:L13=B21)*(M13="×"))+SUMPRODUCT((N13:O13=B21)*(P13="×"))+SUMPRODUCT((B15:C15=B21)*(D15="×"))+SUMPRODUCT((E15:F15=B21)*(G15="×"))+SUMPRODUCT((H15:I15=B21)*(J15="×"))+SUMPRODUCT((K15:L15=B21)*(M15="×"))+SUMPRODUCT((N15:O15=B21)*(P15="×"))+SUMPRODUCT((B17:C17=B21)*(D17="×"))+SUMPRODUCT((E17:F17=B21)*(G17="×"))+SUMPRODUCT((H17:I17=B21)*(J17="×"))+SUMPRODUCT((K17:L17=B21)*(M17="×"))+SUMPRODUCT((N17:O17=B21)*(P17="×")))))</f>
        <v/>
      </c>
      <c r="C23" s="19" t="str">
        <f>IF(C21="","",IF(C24="","",C24-(SUMPRODUCT((B5:C5=C21)*(D5="×"))+SUMPRODUCT((E5:F5=C21)*(G5="×"))+SUMPRODUCT((H5:I5=C21)*(J5="×"))+SUMPRODUCT((K5:L5=C21)*(M5="×"))+SUMPRODUCT((N5:O5=C21)*(P5="×"))+SUMPRODUCT((B7:C7=C21)*(D7="×"))+SUMPRODUCT((E7:F7=C21)*(G7="×"))+SUMPRODUCT((H7:I7=C21)*(J7="×"))+SUMPRODUCT((K7:L7=C21)*(M7="×"))+SUMPRODUCT((N7:O7=C21)*(P7="×"))+SUMPRODUCT((B9:C9=C21)*(D9="×"))+SUMPRODUCT((E9:F9=C21)*(G9="×"))+SUMPRODUCT((H9:I9=C21)*(J9="×"))+SUMPRODUCT((K9:L9=C21)*(M9="×"))+SUMPRODUCT((N9:O9=C21)*(P9="×"))+SUMPRODUCT((B11:C11=C21)*(D11="×"))+SUMPRODUCT((E11:F11=C21)*(G11="×"))+SUMPRODUCT((H11:I11=C21)*(J11="×"))+SUMPRODUCT((K11:L11=C21)*(M11="×"))+SUMPRODUCT((N11:O11=C21)*(P11="×"))+SUMPRODUCT((B13:C13=C21)*(D13="×"))+SUMPRODUCT((E13:F13=C21)*(G13="×"))+SUMPRODUCT((H13:I13=C21)*(J13="×"))+SUMPRODUCT((K13:L13=C21)*(M13="×"))+SUMPRODUCT((N13:O13=C21)*(P13="×"))+SUMPRODUCT((B15:C15=C21)*(D15="×"))+SUMPRODUCT((E15:F15=C21)*(G15="×"))+SUMPRODUCT((H15:I15=C21)*(J15="×"))+SUMPRODUCT((K15:L15=C21)*(M15="×"))+SUMPRODUCT((N15:O15=C21)*(P15="×"))+SUMPRODUCT((B17:C17=C21)*(D17="×"))+SUMPRODUCT((E17:F17=C21)*(G17="×"))+SUMPRODUCT((H17:I17=C21)*(J17="×"))+SUMPRODUCT((K17:L17=C21)*(M17="×"))+SUMPRODUCT((N17:O17=C21)*(P17="×")))))</f>
        <v/>
      </c>
      <c r="D23" s="19" t="str">
        <f>IF(D21="","",IF(D24="","",D24-(SUMPRODUCT((B5:C5=D21)*(D5="×"))+SUMPRODUCT((E5:F5=D21)*(G5="×"))+SUMPRODUCT((H5:I5=D21)*(J5="×"))+SUMPRODUCT((K5:L5=D21)*(M5="×"))+SUMPRODUCT((N5:O5=D21)*(P5="×"))+SUMPRODUCT((B7:C7=D21)*(D7="×"))+SUMPRODUCT((E7:F7=D21)*(G7="×"))+SUMPRODUCT((H7:I7=D21)*(J7="×"))+SUMPRODUCT((K7:L7=D21)*(M7="×"))+SUMPRODUCT((N7:O7=D21)*(P7="×"))+SUMPRODUCT((B9:C9=D21)*(D9="×"))+SUMPRODUCT((E9:F9=D21)*(G9="×"))+SUMPRODUCT((H9:I9=D21)*(J9="×"))+SUMPRODUCT((K9:L9=D21)*(M9="×"))+SUMPRODUCT((N9:O9=D21)*(P9="×"))+SUMPRODUCT((B11:C11=D21)*(D11="×"))+SUMPRODUCT((E11:F11=D21)*(G11="×"))+SUMPRODUCT((H11:I11=D21)*(J11="×"))+SUMPRODUCT((K11:L11=D21)*(M11="×"))+SUMPRODUCT((N11:O11=D21)*(P11="×"))+SUMPRODUCT((B13:C13=D21)*(D13="×"))+SUMPRODUCT((E13:F13=D21)*(G13="×"))+SUMPRODUCT((H13:I13=D21)*(J13="×"))+SUMPRODUCT((K13:L13=D21)*(M13="×"))+SUMPRODUCT((N13:O13=D21)*(P13="×"))+SUMPRODUCT((B15:C15=D21)*(D15="×"))+SUMPRODUCT((E15:F15=D21)*(G15="×"))+SUMPRODUCT((H15:I15=D21)*(J15="×"))+SUMPRODUCT((K15:L15=D21)*(M15="×"))+SUMPRODUCT((N15:O15=D21)*(P15="×"))+SUMPRODUCT((B17:C17=D21)*(D17="×"))+SUMPRODUCT((E17:F17=D21)*(G17="×"))+SUMPRODUCT((H17:I17=D21)*(J17="×"))+SUMPRODUCT((K17:L17=D21)*(M17="×"))+SUMPRODUCT((N17:O17=D21)*(P17="×")))))</f>
        <v/>
      </c>
      <c r="E23" s="19" t="str">
        <f>IF(E21="","",IF(E24="","",E24-(SUMPRODUCT((B5:C5=E21)*(D5="×"))+SUMPRODUCT((E5:F5=E21)*(G5="×"))+SUMPRODUCT((H5:I5=E21)*(J5="×"))+SUMPRODUCT((K5:L5=E21)*(M5="×"))+SUMPRODUCT((N5:O5=E21)*(P5="×"))+SUMPRODUCT((B7:C7=E21)*(D7="×"))+SUMPRODUCT((E7:F7=E21)*(G7="×"))+SUMPRODUCT((H7:I7=E21)*(J7="×"))+SUMPRODUCT((K7:L7=E21)*(M7="×"))+SUMPRODUCT((N7:O7=E21)*(P7="×"))+SUMPRODUCT((B9:C9=E21)*(D9="×"))+SUMPRODUCT((E9:F9=E21)*(G9="×"))+SUMPRODUCT((H9:I9=E21)*(J9="×"))+SUMPRODUCT((K9:L9=E21)*(M9="×"))+SUMPRODUCT((N9:O9=E21)*(P9="×"))+SUMPRODUCT((B11:C11=E21)*(D11="×"))+SUMPRODUCT((E11:F11=E21)*(G11="×"))+SUMPRODUCT((H11:I11=E21)*(J11="×"))+SUMPRODUCT((K11:L11=E21)*(M11="×"))+SUMPRODUCT((N11:O11=E21)*(P11="×"))+SUMPRODUCT((B13:C13=E21)*(D13="×"))+SUMPRODUCT((E13:F13=E21)*(G13="×"))+SUMPRODUCT((H13:I13=E21)*(J13="×"))+SUMPRODUCT((K13:L13=E21)*(M13="×"))+SUMPRODUCT((N13:O13=E21)*(P13="×"))+SUMPRODUCT((B15:C15=E21)*(D15="×"))+SUMPRODUCT((E15:F15=E21)*(G15="×"))+SUMPRODUCT((H15:I15=E21)*(J15="×"))+SUMPRODUCT((K15:L15=E21)*(M15="×"))+SUMPRODUCT((N15:O15=E21)*(P15="×"))+SUMPRODUCT((B17:C17=E21)*(D17="×"))+SUMPRODUCT((E17:F17=E21)*(G17="×"))+SUMPRODUCT((H17:I17=E21)*(J17="×"))+SUMPRODUCT((K17:L17=E21)*(M17="×"))+SUMPRODUCT((N17:O17=E21)*(P17="×")))))</f>
        <v/>
      </c>
      <c r="F23" s="19" t="str">
        <f>IF(F21="","",IF(F24="","",F24-(SUMPRODUCT((B5:C5=F21)*(D5="×"))+SUMPRODUCT((E5:F5=F21)*(G5="×"))+SUMPRODUCT((H5:I5=F21)*(J5="×"))+SUMPRODUCT((K5:L5=F21)*(M5="×"))+SUMPRODUCT((N5:O5=F21)*(P5="×"))+SUMPRODUCT((B7:C7=F21)*(D7="×"))+SUMPRODUCT((E7:F7=F21)*(G7="×"))+SUMPRODUCT((H7:I7=F21)*(J7="×"))+SUMPRODUCT((K7:L7=F21)*(M7="×"))+SUMPRODUCT((N7:O7=F21)*(P7="×"))+SUMPRODUCT((B9:C9=F21)*(D9="×"))+SUMPRODUCT((E9:F9=F21)*(G9="×"))+SUMPRODUCT((H9:I9=F21)*(J9="×"))+SUMPRODUCT((K9:L9=F21)*(M9="×"))+SUMPRODUCT((N9:O9=F21)*(P9="×"))+SUMPRODUCT((B11:C11=F21)*(D11="×"))+SUMPRODUCT((E11:F11=F21)*(G11="×"))+SUMPRODUCT((H11:I11=F21)*(J11="×"))+SUMPRODUCT((K11:L11=F21)*(M11="×"))+SUMPRODUCT((N11:O11=F21)*(P11="×"))+SUMPRODUCT((B13:C13=F21)*(D13="×"))+SUMPRODUCT((E13:F13=F21)*(G13="×"))+SUMPRODUCT((H13:I13=F21)*(J13="×"))+SUMPRODUCT((K13:L13=F21)*(M13="×"))+SUMPRODUCT((N13:O13=F21)*(P13="×"))+SUMPRODUCT((B15:C15=F21)*(D15="×"))+SUMPRODUCT((E15:F15=F21)*(G15="×"))+SUMPRODUCT((H15:I15=F21)*(J15="×"))+SUMPRODUCT((K15:L15=F21)*(M15="×"))+SUMPRODUCT((N15:O15=F21)*(P15="×"))+SUMPRODUCT((B17:C17=F21)*(D17="×"))+SUMPRODUCT((E17:F17=F21)*(G17="×"))+SUMPRODUCT((H17:I17=F21)*(J17="×"))+SUMPRODUCT((K17:L17=F21)*(M17="×"))+SUMPRODUCT((N17:O17=F21)*(P17="×")))))</f>
        <v/>
      </c>
      <c r="G23" s="19" t="str">
        <f>IF(G21="","",IF(G24="","",G24-(SUMPRODUCT((B5:C5=G21)*(D5="×"))+SUMPRODUCT((E5:F5=G21)*(G5="×"))+SUMPRODUCT((H5:I5=G21)*(J5="×"))+SUMPRODUCT((K5:L5=G21)*(M5="×"))+SUMPRODUCT((N5:O5=G21)*(P5="×"))+SUMPRODUCT((B7:C7=G21)*(D7="×"))+SUMPRODUCT((E7:F7=G21)*(G7="×"))+SUMPRODUCT((H7:I7=G21)*(J7="×"))+SUMPRODUCT((K7:L7=G21)*(M7="×"))+SUMPRODUCT((N7:O7=G21)*(P7="×"))+SUMPRODUCT((B9:C9=G21)*(D9="×"))+SUMPRODUCT((E9:F9=G21)*(G9="×"))+SUMPRODUCT((H9:I9=G21)*(J9="×"))+SUMPRODUCT((K9:L9=G21)*(M9="×"))+SUMPRODUCT((N9:O9=G21)*(P9="×"))+SUMPRODUCT((B11:C11=G21)*(D11="×"))+SUMPRODUCT((E11:F11=G21)*(G11="×"))+SUMPRODUCT((H11:I11=G21)*(J11="×"))+SUMPRODUCT((K11:L11=G21)*(M11="×"))+SUMPRODUCT((N11:O11=G21)*(P11="×"))+SUMPRODUCT((B13:C13=G21)*(D13="×"))+SUMPRODUCT((E13:F13=G21)*(G13="×"))+SUMPRODUCT((H13:I13=G21)*(J13="×"))+SUMPRODUCT((K13:L13=G21)*(M13="×"))+SUMPRODUCT((N13:O13=G21)*(P13="×"))+SUMPRODUCT((B15:C15=G21)*(D15="×"))+SUMPRODUCT((E15:F15=G21)*(G15="×"))+SUMPRODUCT((H15:I15=G21)*(J15="×"))+SUMPRODUCT((K15:L15=G21)*(M15="×"))+SUMPRODUCT((N15:O15=G21)*(P15="×"))+SUMPRODUCT((B17:C17=G21)*(D17="×"))+SUMPRODUCT((E17:F17=G21)*(G17="×"))+SUMPRODUCT((H17:I17=G21)*(J17="×"))+SUMPRODUCT((K17:L17=G21)*(M17="×"))+SUMPRODUCT((N17:O17=G21)*(P17="×")))))</f>
        <v/>
      </c>
      <c r="H23" s="19"/>
      <c r="I23" s="19"/>
      <c r="J23" s="19"/>
      <c r="K23" s="19"/>
      <c r="L23" s="19"/>
      <c r="M23" s="19">
        <f>IF(M24="","",M24-(SUMPRODUCT((B5:C5="特活")*(D5="×"))+SUMPRODUCT((B5:C5="学活")*(D5="×"))+SUMPRODUCT((E5:F5="特活")*(G5="×"))+SUMPRODUCT((E5:F5="学活")*(G5="×"))+SUMPRODUCT((H5:I5="特活")*(J5="×"))+SUMPRODUCT((H5:I5="学活")*(J5="×"))+SUMPRODUCT((K5:L5="特活")*(M5="×"))+SUMPRODUCT((K5:L5="学活")*(M5="×"))+SUMPRODUCT((N5:O5="特活")*(P5="×"))+SUMPRODUCT((N5:O5="学活")*(P5="×"))+SUMPRODUCT((B7:C7="特活")*(D7="×"))+SUMPRODUCT((B7:C7="学活")*(D7="×"))+SUMPRODUCT((E7:F7="特活")*(G7="×"))+SUMPRODUCT((E7:F7="学活")*(G7="×"))+SUMPRODUCT((H7:I7="特活")*(J7="×"))+SUMPRODUCT((H7:I7="学活")*(J7="×"))+SUMPRODUCT((K7:L7="特活")*(M7="×"))+SUMPRODUCT((K7:L7="学活")*(M7="×"))+SUMPRODUCT((N7:O7="特活")*(P7="×"))+SUMPRODUCT((N7:O7="学活")*(P7="×"))+SUMPRODUCT((B9:C9="特活")*(D9="×"))+SUMPRODUCT((B9:C9="学活")*(D9="×"))+SUMPRODUCT((E9:F9="特活")*(G9="×"))+SUMPRODUCT((E9:F9="学活")*(G9="×"))+SUMPRODUCT((H9:I9="特活")*(J9="×"))+SUMPRODUCT((H9:I9="学活")*(J9="×"))+SUMPRODUCT((K9:L9="特活")*(M9="×"))+SUMPRODUCT((K9:L9="学活")*(M9="×"))+SUMPRODUCT((N9:O9="特活")*(P9="×"))+SUMPRODUCT((N9:O9="学活")*(P9="×"))+SUMPRODUCT((B11:C11="特活")*(D11="×"))+SUMPRODUCT((B11:C11="学活")*(D11="×"))+SUMPRODUCT((E11:F11="特活")*(G11="×"))+SUMPRODUCT((E11:F11="学活")*(G11="×"))+SUMPRODUCT((H11:I11="特活")*(J11="×"))+SUMPRODUCT((H11:I11="学活")*(J11="×"))+SUMPRODUCT((K11:L11="特活")*(M11="×"))+SUMPRODUCT((K11:L11="学活")*(M11="×"))+SUMPRODUCT((N11:O11="特活")*(P11="×"))+SUMPRODUCT((N11:O11="学活")*(P11="×"))+SUMPRODUCT((B13:C13="特活")*(D13="×"))+SUMPRODUCT((B13:C13="学活")*(D13="×"))+SUMPRODUCT((E13:F13="特活")*(G13="×"))+SUMPRODUCT((E13:F13="学活")*(G13="×"))+SUMPRODUCT((H13:I13="特活")*(J13="×"))+SUMPRODUCT((H13:I13="学活")*(J13="×"))+SUMPRODUCT((K13:L13="特活")*(M13="×"))+SUMPRODUCT((K13:L13="学活")*(M13="×"))+SUMPRODUCT((N13:O13="特活")*(P13="×"))+SUMPRODUCT((N13:O13="学活")*(P13="×"))+SUMPRODUCT((B15:C15="特活")*(D15="×"))+SUMPRODUCT((B15:C15="学活")*(D15="×"))+SUMPRODUCT((E15:F15="特活")*(G15="×"))+SUMPRODUCT((E15:F15="学活")*(G15="×"))+SUMPRODUCT((H15:I15="特活")*(J15="×"))+SUMPRODUCT((H15:I15="学活")*(J15="×"))+SUMPRODUCT((K15:L15="特活")*(M15="×"))+SUMPRODUCT((K15:L15="学活")*(M15="×"))+SUMPRODUCT((N15:O15="特活")*(P15="×"))+SUMPRODUCT((N15:O15="学活")*(P15="×"))+SUMPRODUCT((B17:C17="特活")*(D17="×"))+SUMPRODUCT((B17:C17="学活")*(D17="×"))+SUMPRODUCT((E17:F17="特活")*(G17="×"))+SUMPRODUCT((E17:F17="学活")*(G17="×"))+SUMPRODUCT((H17:I17="特活")*(J17="×"))+SUMPRODUCT((H17:I17="学活")*(J17="×"))+SUMPRODUCT((K17:L17="特活")*(M17="×"))+SUMPRODUCT((K17:L17="学活")*(M17="×"))+SUMPRODUCT((N17:O17="特活")*(P17="×"))+SUMPRODUCT((N17:O17="学活")*(P17="×"))))</f>
        <v>14</v>
      </c>
      <c r="N23" s="19" t="str">
        <f>IF(N24="","",N24-(SUMPRODUCT((B5:C5=N21)*(D5="×"))+SUMPRODUCT((E5:F5=N21)*(G5="×"))+SUMPRODUCT((H5:I5=N21)*(J5="×"))+SUMPRODUCT((K5:L5=N21)*(M5="×"))+SUMPRODUCT((N5:O5=N21)*(P5="×"))+SUMPRODUCT((B7:C7=N21)*(D7="×"))+SUMPRODUCT((E7:F7=N21)*(G7="×"))+SUMPRODUCT((H7:I7=N21)*(J7="×"))+SUMPRODUCT((K7:L7=N21)*(M7="×"))+SUMPRODUCT((N7:O7=N21)*(P7="×"))+SUMPRODUCT((B9:C9=N21)*(D9="×"))+SUMPRODUCT((E9:F9=N21)*(G9="×"))+SUMPRODUCT((H9:I9=N21)*(J9="×"))+SUMPRODUCT((K9:L9=N21)*(M9="×"))+SUMPRODUCT((N9:O9=N21)*(P9="×"))+SUMPRODUCT((B11:C11=N21)*(D11="×"))+SUMPRODUCT((E11:F11=N21)*(G11="×"))+SUMPRODUCT((H11:I11=N21)*(J11="×"))+SUMPRODUCT((K11:L11=N21)*(M11="×"))+SUMPRODUCT((N11:O11=N21)*(P11="×"))+SUMPRODUCT((B13:C13=N21)*(D13="×"))+SUMPRODUCT((E13:F13=N21)*(G13="×"))+SUMPRODUCT((H13:I13=N21)*(J13="×"))+SUMPRODUCT((K13:L13=N21)*(M13="×"))+SUMPRODUCT((N13:O13=N21)*(P13="×"))+SUMPRODUCT((B15:C15=N21)*(D15="×"))+SUMPRODUCT((E15:F15=N21)*(G15="×"))+SUMPRODUCT((H15:I15=N21)*(J15="×"))+SUMPRODUCT((K15:L15=N21)*(M15="×"))+SUMPRODUCT((N15:O15=N21)*(P15="×"))+SUMPRODUCT((B17:C17=N21)*(D17="×"))+SUMPRODUCT((E17:F17=N21)*(G17="×"))+SUMPRODUCT((H17:I17=N21)*(J17="×"))+SUMPRODUCT((K17:L17=N21)*(M17="×"))+SUMPRODUCT((N17:O17=N21)*(P17="×"))))</f>
        <v/>
      </c>
      <c r="O23" s="19" t="str">
        <f>IF(O24="","",O24-(SUMPRODUCT((B5:C5=O21)*(D5="×"))+SUMPRODUCT((E5:F5=O21)*(G5="×"))+SUMPRODUCT((H5:I5=O21)*(J5="×"))+SUMPRODUCT((K5:L5=O21)*(M5="×"))+SUMPRODUCT((N5:O5=O21)*(P5="×"))+SUMPRODUCT((B7:C7=O21)*(D7="×"))+SUMPRODUCT((E7:F7=O21)*(G7="×"))+SUMPRODUCT((H7:I7=O21)*(J7="×"))+SUMPRODUCT((K7:L7=O21)*(M7="×"))+SUMPRODUCT((N7:O7=O21)*(P7="×"))+SUMPRODUCT((B9:C9=O21)*(D9="×"))+SUMPRODUCT((E9:F9=O21)*(G9="×"))+SUMPRODUCT((H9:I9=O21)*(J9="×"))+SUMPRODUCT((K9:L9=O21)*(M9="×"))+SUMPRODUCT((N9:O9=O21)*(P9="×"))+SUMPRODUCT((B11:C11=O21)*(D11="×"))+SUMPRODUCT((E11:F11=O21)*(G11="×"))+SUMPRODUCT((H11:I11=O21)*(J11="×"))+SUMPRODUCT((K11:L11=O21)*(M11="×"))+SUMPRODUCT((N11:O11=O21)*(P11="×"))+SUMPRODUCT((B13:C13=O21)*(D13="×"))+SUMPRODUCT((E13:F13=O21)*(G13="×"))+SUMPRODUCT((H13:I13=O21)*(J13="×"))+SUMPRODUCT((K13:L13=O21)*(M13="×"))+SUMPRODUCT((N13:O13=O21)*(P13="×"))+SUMPRODUCT((B15:C15=O21)*(D15="×"))+SUMPRODUCT((E15:F15=O21)*(G15="×"))+SUMPRODUCT((H15:I15=O21)*(J15="×"))+SUMPRODUCT((K15:L15=O21)*(M15="×"))+SUMPRODUCT((N15:O15=O21)*(P15="×"))+SUMPRODUCT((B17:C17=O21)*(D17="×"))+SUMPRODUCT((E17:F17=O21)*(G17="×"))+SUMPRODUCT((H17:I17=O21)*(J17="×"))+SUMPRODUCT((K17:L17=O21)*(M17="×"))+SUMPRODUCT((N17:O17=O21)*(P17="×"))))</f>
        <v/>
      </c>
      <c r="P23" s="20">
        <f>IF(SUM(B23:O23)=0,"",SUM(B23:O23))</f>
        <v>14</v>
      </c>
    </row>
    <row r="24" spans="1:16" ht="13.5" customHeight="1" x14ac:dyDescent="0.2">
      <c r="A24" s="34"/>
      <c r="B24" s="21" t="str">
        <f>IF(B21="","",IF(COUNTIF(B5:C5,B21)+COUNTIF(B5:C5,"*,"&amp;B21&amp;",*")+COUNTIF(E5:F5,B21)+COUNTIF(E5:F5,"*,"&amp;B21&amp;",*")+COUNTIF(H5:I5,B21)+COUNTIF(H5:I5,"*,"&amp;B21&amp;",*")+COUNTIF(K5:L5,B21)+COUNTIF(K5:L5,"*,"&amp;B21&amp;",*")+COUNTIF(N5:O5,B21)+COUNTIF(N5:O5,"*,"&amp;B21&amp;",*")+COUNTIF(B7:C7,B21)+COUNTIF(B7:C7,"*,"&amp;B21&amp;",*")+COUNTIF(E7:F7,B21)+COUNTIF(E7:F7,"*,"&amp;B21&amp;",*")+COUNTIF(H7:I7,B21)+COUNTIF(H7:I7,"*,"&amp;B21&amp;",*")+COUNTIF(K7:L7,B21)+COUNTIF(K7:L7,"*,"&amp;B21&amp;",*")+COUNTIF(N7:O7,B21)+COUNTIF(N7:O7,"*,"&amp;B21&amp;",*")+COUNTIF(B9:C9,B21)+COUNTIF(B9:C9,"*,"&amp;B21&amp;",*")+COUNTIF(E9:F9,B21)+COUNTIF(E9:F9,"*,"&amp;B21&amp;",*")+COUNTIF(H9:I9,B21)+COUNTIF(H9:I9,"*,"&amp;B21&amp;",*")+COUNTIF(K9:L9,B21)+COUNTIF(K9:L9,"*,"&amp;B21&amp;",*")+COUNTIF(N9:O9,B21)+COUNTIF(N9:O9,"*,"&amp;B21&amp;",*")+COUNTIF(B11:C11,B21)+COUNTIF(B11:C11,"*,"&amp;B21&amp;",*")+COUNTIF(E11:F11,B21)+COUNTIF(E11:F11,"*,"&amp;B21&amp;",*")+COUNTIF(H11:I11,B21)+COUNTIF(H11:I11,"*,"&amp;B21&amp;",*")+COUNTIF(K11:L11,B21)+COUNTIF(K11:L11,"*,"&amp;B21&amp;",*")+COUNTIF(N11:O11,B21)+COUNTIF(N11:O11,"*,"&amp;B21&amp;",*")+COUNTIF(B13:C13,B21)+COUNTIF(B13:C13,"*,"&amp;B21&amp;",*")+COUNTIF(E13:F13,B21)+COUNTIF(E13:F13,"*,"&amp;B21&amp;",*")+COUNTIF(H13:I13,B21)+COUNTIF(H13:I13,"*,"&amp;B21&amp;",*")+COUNTIF(K13:L13,B21)+COUNTIF(K13:L13,"*,"&amp;B21&amp;",*")+COUNTIF(N13:O13,B21)+COUNTIF(N13:O13,"*,"&amp;B21&amp;",*")+COUNTIF(B15:C15,B21)+COUNTIF(B15:C15,"*,"&amp;B21&amp;",*")+COUNTIF(E15:F15,B21)+COUNTIF(E15:F15,"*,"&amp;B21&amp;",*")+COUNTIF(H15:I15,B21)+COUNTIF(H15:I15,"*,"&amp;B21&amp;",*")+COUNTIF(K15:L15,B21)+COUNTIF(K15:L15,"*,"&amp;B21&amp;",*")+COUNTIF(N15:O15,B21)+COUNTIF(N15:O15,"*,"&amp;B21&amp;",*")+COUNTIF(B17:C17,B21)+COUNTIF(B17:C17,"*,"&amp;B21&amp;",*")+COUNTIF(E17:F17,B21)+COUNTIF(E17:F17,"*,"&amp;B21&amp;",*")+COUNTIF(H17:I17,B21)+COUNTIF(H17:I17,"*,"&amp;B21&amp;",*")+COUNTIF(K17:L17,B21)+COUNTIF(K17:L17,"*,"&amp;B21&amp;",*")+COUNTIF(N17:O17,B21)+COUNTIF(N17:O17,"*,"&amp;B21&amp;",*")=0,"",COUNTIF(B5:C5,B21)+COUNTIF(B5:C5,"*,"&amp;B21&amp;",*")+COUNTIF(E5:F5,B21)+COUNTIF(E5:F5,"*,"&amp;B21&amp;",*")+COUNTIF(H5:I5,B21)+COUNTIF(H5:I5,"*,"&amp;B21&amp;",*")+COUNTIF(K5:L5,B21)+COUNTIF(K5:L5,"*,"&amp;B21&amp;",*")+COUNTIF(N5:O5,B21)+COUNTIF(N5:O5,"*,"&amp;B21&amp;",*")+COUNTIF(B7:C7,B21)+COUNTIF(B7:C7,"*,"&amp;B21&amp;",*")+COUNTIF(E7:F7,B21)+COUNTIF(E7:F7,"*,"&amp;B21&amp;",*")+COUNTIF(H7:I7,B21)+COUNTIF(H7:I7,"*,"&amp;B21&amp;",*")+COUNTIF(K7:L7,B21)+COUNTIF(K7:L7,"*,"&amp;B21&amp;",*")+COUNTIF(N7:O7,B21)+COUNTIF(N7:O7,"*,"&amp;B21&amp;",*")+COUNTIF(B9:C9,B21)+COUNTIF(B9:C9,"*,"&amp;B21&amp;",*")+COUNTIF(E9:F9,B21)+COUNTIF(E9:F9,"*,"&amp;B21&amp;",*")+COUNTIF(H9:I9,B21)+COUNTIF(H9:I9,"*,"&amp;B21&amp;",*")+COUNTIF(K9:L9,B21)+COUNTIF(K9:L9,"*,"&amp;B21&amp;",*")+COUNTIF(N9:O9,B21)+COUNTIF(N9:O9,"*,"&amp;B21&amp;",*")+COUNTIF(B11:C11,B21)+COUNTIF(B11:C11,"*,"&amp;B21&amp;",*")+COUNTIF(E11:F11,B21)+COUNTIF(E11:F11,"*,"&amp;B21&amp;",*")+COUNTIF(H11:I11,B21)+COUNTIF(H11:I11,"*,"&amp;B21&amp;",*")+COUNTIF(K11:L11,B21)+COUNTIF(K11:L11,"*,"&amp;B21&amp;",*")+COUNTIF(N11:O11,B21)+COUNTIF(N11:O11,"*,"&amp;B21&amp;",*")+COUNTIF(B13:C13,B21)+COUNTIF(B13:C13,"*,"&amp;B21&amp;",*")+COUNTIF(E13:F13,B21)+COUNTIF(E13:F13,"*,"&amp;B21&amp;",*")+COUNTIF(H13:I13,B21)+COUNTIF(H13:I13,"*,"&amp;B21&amp;",*")+COUNTIF(K13:L13,B21)+COUNTIF(K13:L13,"*,"&amp;B21&amp;",*")+COUNTIF(N13:O13,B21)+COUNTIF(N13:O13,"*,"&amp;B21&amp;",*")+COUNTIF(B15:C15,B21)+COUNTIF(B15:C15,"*,"&amp;B21&amp;",*")+COUNTIF(E15:F15,B21)+COUNTIF(E15:F15,"*,"&amp;B21&amp;",*")+COUNTIF(H15:I15,B21)+COUNTIF(H15:I15,"*,"&amp;B21&amp;",*")+COUNTIF(K15:L15,B21)+COUNTIF(K15:L15,"*,"&amp;B21&amp;",*")+COUNTIF(N15:O15,B21)+COUNTIF(N15:O15,"*,"&amp;B21&amp;",*")+COUNTIF(B17:C17,B21)+COUNTIF(B17:C17,"*,"&amp;B21&amp;",*")+COUNTIF(E17:F17,B21)+COUNTIF(E17:F17,"*,"&amp;B21&amp;",*")+COUNTIF(H17:I17,B21)+COUNTIF(H17:I17,"*,"&amp;B21&amp;",*")+COUNTIF(K17:L17,B21)+COUNTIF(K17:L17,"*,"&amp;B21&amp;",*")+COUNTIF(N17:O17,B21)+COUNTIF(N17:O17,"*,"&amp;B21&amp;",*")))</f>
        <v/>
      </c>
      <c r="C24" s="21" t="str">
        <f>IF(C21="","",IF(COUNTIF(B5:C5,C21)+COUNTIF(B5:C5,"*,"&amp;C21&amp;",*")+COUNTIF(E5:F5,C21)+COUNTIF(E5:F5,"*,"&amp;C21&amp;",*")+COUNTIF(H5:I5,C21)+COUNTIF(H5:I5,"*,"&amp;C21&amp;",*")+COUNTIF(K5:L5,C21)+COUNTIF(K5:L5,"*,"&amp;C21&amp;",*")+COUNTIF(N5:O5,C21)+COUNTIF(N5:O5,"*,"&amp;C21&amp;",*")+COUNTIF(B7:C7,C21)+COUNTIF(B7:C7,"*,"&amp;C21&amp;",*")+COUNTIF(E7:F7,C21)+COUNTIF(E7:F7,"*,"&amp;C21&amp;",*")+COUNTIF(H7:I7,C21)+COUNTIF(H7:I7,"*,"&amp;C21&amp;",*")+COUNTIF(K7:L7,C21)+COUNTIF(K7:L7,"*,"&amp;C21&amp;",*")+COUNTIF(N7:O7,C21)+COUNTIF(N7:O7,"*,"&amp;C21&amp;",*")+COUNTIF(B9:C9,C21)+COUNTIF(B9:C9,"*,"&amp;C21&amp;",*")+COUNTIF(E9:F9,C21)+COUNTIF(E9:F9,"*,"&amp;C21&amp;",*")+COUNTIF(H9:I9,C21)+COUNTIF(H9:I9,"*,"&amp;C21&amp;",*")+COUNTIF(K9:L9,C21)+COUNTIF(K9:L9,"*,"&amp;C21&amp;",*")+COUNTIF(N9:O9,C21)+COUNTIF(N9:O9,"*,"&amp;C21&amp;",*")+COUNTIF(B11:C11,C21)+COUNTIF(B11:C11,"*,"&amp;C21&amp;",*")+COUNTIF(E11:F11,C21)+COUNTIF(E11:F11,"*,"&amp;C21&amp;",*")+COUNTIF(H11:I11,C21)+COUNTIF(H11:I11,"*,"&amp;C21&amp;",*")+COUNTIF(K11:L11,C21)+COUNTIF(K11:L11,"*,"&amp;C21&amp;",*")+COUNTIF(N11:O11,C21)+COUNTIF(N11:O11,"*,"&amp;C21&amp;",*")+COUNTIF(B13:C13,C21)+COUNTIF(B13:C13,"*,"&amp;C21&amp;",*")+COUNTIF(E13:F13,C21)+COUNTIF(E13:F13,"*,"&amp;C21&amp;",*")+COUNTIF(H13:I13,C21)+COUNTIF(H13:I13,"*,"&amp;C21&amp;",*")+COUNTIF(K13:L13,C21)+COUNTIF(K13:L13,"*,"&amp;C21&amp;",*")+COUNTIF(N13:O13,C21)+COUNTIF(N13:O13,"*,"&amp;C21&amp;",*")+COUNTIF(B15:C15,C21)+COUNTIF(B15:C15,"*,"&amp;C21&amp;",*")+COUNTIF(E15:F15,C21)+COUNTIF(E15:F15,"*,"&amp;C21&amp;",*")+COUNTIF(H15:I15,C21)+COUNTIF(H15:I15,"*,"&amp;C21&amp;",*")+COUNTIF(K15:L15,C21)+COUNTIF(K15:L15,"*,"&amp;C21&amp;",*")+COUNTIF(N15:O15,C21)+COUNTIF(N15:O15,"*,"&amp;C21&amp;",*")+COUNTIF(B17:C17,C21)+COUNTIF(B17:C17,"*,"&amp;C21&amp;",*")+COUNTIF(E17:F17,C21)+COUNTIF(E17:F17,"*,"&amp;C21&amp;",*")+COUNTIF(H17:I17,C21)+COUNTIF(H17:I17,"*,"&amp;C21&amp;",*")+COUNTIF(K17:L17,C21)+COUNTIF(K17:L17,"*,"&amp;C21&amp;",*")+COUNTIF(N17:O17,C21)+COUNTIF(N17:O17,"*,"&amp;C21&amp;",*")=0,"",COUNTIF(B5:C5,C21)+COUNTIF(B5:C5,"*,"&amp;C21&amp;",*")+COUNTIF(E5:F5,C21)+COUNTIF(E5:F5,"*,"&amp;C21&amp;",*")+COUNTIF(H5:I5,C21)+COUNTIF(H5:I5,"*,"&amp;C21&amp;",*")+COUNTIF(K5:L5,C21)+COUNTIF(K5:L5,"*,"&amp;C21&amp;",*")+COUNTIF(N5:O5,C21)+COUNTIF(N5:O5,"*,"&amp;C21&amp;",*")+COUNTIF(B7:C7,C21)+COUNTIF(B7:C7,"*,"&amp;C21&amp;",*")+COUNTIF(E7:F7,C21)+COUNTIF(E7:F7,"*,"&amp;C21&amp;",*")+COUNTIF(H7:I7,C21)+COUNTIF(H7:I7,"*,"&amp;C21&amp;",*")+COUNTIF(K7:L7,C21)+COUNTIF(K7:L7,"*,"&amp;C21&amp;",*")+COUNTIF(N7:O7,C21)+COUNTIF(N7:O7,"*,"&amp;C21&amp;",*")+COUNTIF(B9:C9,C21)+COUNTIF(B9:C9,"*,"&amp;C21&amp;",*")+COUNTIF(E9:F9,C21)+COUNTIF(E9:F9,"*,"&amp;C21&amp;",*")+COUNTIF(H9:I9,C21)+COUNTIF(H9:I9,"*,"&amp;C21&amp;",*")+COUNTIF(K9:L9,C21)+COUNTIF(K9:L9,"*,"&amp;C21&amp;",*")+COUNTIF(N9:O9,C21)+COUNTIF(N9:O9,"*,"&amp;C21&amp;",*")+COUNTIF(B11:C11,C21)+COUNTIF(B11:C11,"*,"&amp;C21&amp;",*")+COUNTIF(E11:F11,C21)+COUNTIF(E11:F11,"*,"&amp;C21&amp;",*")+COUNTIF(H11:I11,C21)+COUNTIF(H11:I11,"*,"&amp;C21&amp;",*")+COUNTIF(K11:L11,C21)+COUNTIF(K11:L11,"*,"&amp;C21&amp;",*")+COUNTIF(N11:O11,C21)+COUNTIF(N11:O11,"*,"&amp;C21&amp;",*")+COUNTIF(B13:C13,C21)+COUNTIF(B13:C13,"*,"&amp;C21&amp;",*")+COUNTIF(E13:F13,C21)+COUNTIF(E13:F13,"*,"&amp;C21&amp;",*")+COUNTIF(H13:I13,C21)+COUNTIF(H13:I13,"*,"&amp;C21&amp;",*")+COUNTIF(K13:L13,C21)+COUNTIF(K13:L13,"*,"&amp;C21&amp;",*")+COUNTIF(N13:O13,C21)+COUNTIF(N13:O13,"*,"&amp;C21&amp;",*")+COUNTIF(B15:C15,C21)+COUNTIF(B15:C15,"*,"&amp;C21&amp;",*")+COUNTIF(E15:F15,C21)+COUNTIF(E15:F15,"*,"&amp;C21&amp;",*")+COUNTIF(H15:I15,C21)+COUNTIF(H15:I15,"*,"&amp;C21&amp;",*")+COUNTIF(K15:L15,C21)+COUNTIF(K15:L15,"*,"&amp;C21&amp;",*")+COUNTIF(N15:O15,C21)+COUNTIF(N15:O15,"*,"&amp;C21&amp;",*")+COUNTIF(B17:C17,C21)+COUNTIF(B17:C17,"*,"&amp;C21&amp;",*")+COUNTIF(E17:F17,C21)+COUNTIF(E17:F17,"*,"&amp;C21&amp;",*")+COUNTIF(H17:I17,C21)+COUNTIF(H17:I17,"*,"&amp;C21&amp;",*")+COUNTIF(K17:L17,C21)+COUNTIF(K17:L17,"*,"&amp;C21&amp;",*")+COUNTIF(N17:O17,C21)+COUNTIF(N17:O17,"*,"&amp;C21&amp;",*")))</f>
        <v/>
      </c>
      <c r="D24" s="21" t="str">
        <f>IF(D21="","",IF(COUNTIF(B5:C5,D21)+COUNTIF(B5:C5,"*,"&amp;D21&amp;",*")+COUNTIF(E5:F5,D21)+COUNTIF(E5:F5,"*,"&amp;D21&amp;",*")+COUNTIF(H5:I5,D21)+COUNTIF(H5:I5,"*,"&amp;D21&amp;",*")+COUNTIF(K5:L5,D21)+COUNTIF(K5:L5,"*,"&amp;D21&amp;",*")+COUNTIF(N5:O5,D21)+COUNTIF(N5:O5,"*,"&amp;D21&amp;",*")+COUNTIF(B7:C7,D21)+COUNTIF(B7:C7,"*,"&amp;D21&amp;",*")+COUNTIF(E7:F7,D21)+COUNTIF(E7:F7,"*,"&amp;D21&amp;",*")+COUNTIF(H7:I7,D21)+COUNTIF(H7:I7,"*,"&amp;D21&amp;",*")+COUNTIF(K7:L7,D21)+COUNTIF(K7:L7,"*,"&amp;D21&amp;",*")+COUNTIF(N7:O7,D21)+COUNTIF(N7:O7,"*,"&amp;D21&amp;",*")+COUNTIF(B9:C9,D21)+COUNTIF(B9:C9,"*,"&amp;D21&amp;",*")+COUNTIF(E9:F9,D21)+COUNTIF(E9:F9,"*,"&amp;D21&amp;",*")+COUNTIF(H9:I9,D21)+COUNTIF(H9:I9,"*,"&amp;D21&amp;",*")+COUNTIF(K9:L9,D21)+COUNTIF(K9:L9,"*,"&amp;D21&amp;",*")+COUNTIF(N9:O9,D21)+COUNTIF(N9:O9,"*,"&amp;D21&amp;",*")+COUNTIF(B11:C11,D21)+COUNTIF(B11:C11,"*,"&amp;D21&amp;",*")+COUNTIF(E11:F11,D21)+COUNTIF(E11:F11,"*,"&amp;D21&amp;",*")+COUNTIF(H11:I11,D21)+COUNTIF(H11:I11,"*,"&amp;D21&amp;",*")+COUNTIF(K11:L11,D21)+COUNTIF(K11:L11,"*,"&amp;D21&amp;",*")+COUNTIF(N11:O11,D21)+COUNTIF(N11:O11,"*,"&amp;D21&amp;",*")+COUNTIF(B13:C13,D21)+COUNTIF(B13:C13,"*,"&amp;D21&amp;",*")+COUNTIF(E13:F13,D21)+COUNTIF(E13:F13,"*,"&amp;D21&amp;",*")+COUNTIF(H13:I13,D21)+COUNTIF(H13:I13,"*,"&amp;D21&amp;",*")+COUNTIF(K13:L13,D21)+COUNTIF(K13:L13,"*,"&amp;D21&amp;",*")+COUNTIF(N13:O13,D21)+COUNTIF(N13:O13,"*,"&amp;D21&amp;",*")+COUNTIF(B15:C15,D21)+COUNTIF(B15:C15,"*,"&amp;D21&amp;",*")+COUNTIF(E15:F15,D21)+COUNTIF(E15:F15,"*,"&amp;D21&amp;",*")+COUNTIF(H15:I15,D21)+COUNTIF(H15:I15,"*,"&amp;D21&amp;",*")+COUNTIF(K15:L15,D21)+COUNTIF(K15:L15,"*,"&amp;D21&amp;",*")+COUNTIF(N15:O15,D21)+COUNTIF(N15:O15,"*,"&amp;D21&amp;",*")+COUNTIF(B17:C17,D21)+COUNTIF(B17:C17,"*,"&amp;D21&amp;",*")+COUNTIF(E17:F17,D21)+COUNTIF(E17:F17,"*,"&amp;D21&amp;",*")+COUNTIF(H17:I17,D21)+COUNTIF(H17:I17,"*,"&amp;D21&amp;",*")+COUNTIF(K17:L17,D21)+COUNTIF(K17:L17,"*,"&amp;D21&amp;",*")+COUNTIF(N17:O17,D21)+COUNTIF(N17:O17,"*,"&amp;D21&amp;",*")=0,"",COUNTIF(B5:C5,D21)+COUNTIF(B5:C5,"*,"&amp;D21&amp;",*")+COUNTIF(E5:F5,D21)+COUNTIF(E5:F5,"*,"&amp;D21&amp;",*")+COUNTIF(H5:I5,D21)+COUNTIF(H5:I5,"*,"&amp;D21&amp;",*")+COUNTIF(K5:L5,D21)+COUNTIF(K5:L5,"*,"&amp;D21&amp;",*")+COUNTIF(N5:O5,D21)+COUNTIF(N5:O5,"*,"&amp;D21&amp;",*")+COUNTIF(B7:C7,D21)+COUNTIF(B7:C7,"*,"&amp;D21&amp;",*")+COUNTIF(E7:F7,D21)+COUNTIF(E7:F7,"*,"&amp;D21&amp;",*")+COUNTIF(H7:I7,D21)+COUNTIF(H7:I7,"*,"&amp;D21&amp;",*")+COUNTIF(K7:L7,D21)+COUNTIF(K7:L7,"*,"&amp;D21&amp;",*")+COUNTIF(N7:O7,D21)+COUNTIF(N7:O7,"*,"&amp;D21&amp;",*")+COUNTIF(B9:C9,D21)+COUNTIF(B9:C9,"*,"&amp;D21&amp;",*")+COUNTIF(E9:F9,D21)+COUNTIF(E9:F9,"*,"&amp;D21&amp;",*")+COUNTIF(H9:I9,D21)+COUNTIF(H9:I9,"*,"&amp;D21&amp;",*")+COUNTIF(K9:L9,D21)+COUNTIF(K9:L9,"*,"&amp;D21&amp;",*")+COUNTIF(N9:O9,D21)+COUNTIF(N9:O9,"*,"&amp;D21&amp;",*")+COUNTIF(B11:C11,D21)+COUNTIF(B11:C11,"*,"&amp;D21&amp;",*")+COUNTIF(E11:F11,D21)+COUNTIF(E11:F11,"*,"&amp;D21&amp;",*")+COUNTIF(H11:I11,D21)+COUNTIF(H11:I11,"*,"&amp;D21&amp;",*")+COUNTIF(K11:L11,D21)+COUNTIF(K11:L11,"*,"&amp;D21&amp;",*")+COUNTIF(N11:O11,D21)+COUNTIF(N11:O11,"*,"&amp;D21&amp;",*")+COUNTIF(B13:C13,D21)+COUNTIF(B13:C13,"*,"&amp;D21&amp;",*")+COUNTIF(E13:F13,D21)+COUNTIF(E13:F13,"*,"&amp;D21&amp;",*")+COUNTIF(H13:I13,D21)+COUNTIF(H13:I13,"*,"&amp;D21&amp;",*")+COUNTIF(K13:L13,D21)+COUNTIF(K13:L13,"*,"&amp;D21&amp;",*")+COUNTIF(N13:O13,D21)+COUNTIF(N13:O13,"*,"&amp;D21&amp;",*")+COUNTIF(B15:C15,D21)+COUNTIF(B15:C15,"*,"&amp;D21&amp;",*")+COUNTIF(E15:F15,D21)+COUNTIF(E15:F15,"*,"&amp;D21&amp;",*")+COUNTIF(H15:I15,D21)+COUNTIF(H15:I15,"*,"&amp;D21&amp;",*")+COUNTIF(K15:L15,D21)+COUNTIF(K15:L15,"*,"&amp;D21&amp;",*")+COUNTIF(N15:O15,D21)+COUNTIF(N15:O15,"*,"&amp;D21&amp;",*")+COUNTIF(B17:C17,D21)+COUNTIF(B17:C17,"*,"&amp;D21&amp;",*")+COUNTIF(E17:F17,D21)+COUNTIF(E17:F17,"*,"&amp;D21&amp;",*")+COUNTIF(H17:I17,D21)+COUNTIF(H17:I17,"*,"&amp;D21&amp;",*")+COUNTIF(K17:L17,D21)+COUNTIF(K17:L17,"*,"&amp;D21&amp;",*")+COUNTIF(N17:O17,D21)+COUNTIF(N17:O17,"*,"&amp;D21&amp;",*")))</f>
        <v/>
      </c>
      <c r="E24" s="21" t="str">
        <f>IF(E21="","",IF(COUNTIF(B5:C5,E21)+COUNTIF(B5:C5,"*,"&amp;E21&amp;",*")+COUNTIF(E5:F5,E21)+COUNTIF(E5:F5,"*,"&amp;E21&amp;",*")+COUNTIF(H5:I5,E21)+COUNTIF(H5:I5,"*,"&amp;E21&amp;",*")+COUNTIF(K5:L5,E21)+COUNTIF(K5:L5,"*,"&amp;E21&amp;",*")+COUNTIF(N5:O5,E21)+COUNTIF(N5:O5,"*,"&amp;E21&amp;",*")+COUNTIF(B7:C7,E21)+COUNTIF(B7:C7,"*,"&amp;E21&amp;",*")+COUNTIF(E7:F7,E21)+COUNTIF(E7:F7,"*,"&amp;E21&amp;",*")+COUNTIF(H7:I7,E21)+COUNTIF(H7:I7,"*,"&amp;E21&amp;",*")+COUNTIF(K7:L7,E21)+COUNTIF(K7:L7,"*,"&amp;E21&amp;",*")+COUNTIF(N7:O7,E21)+COUNTIF(N7:O7,"*,"&amp;E21&amp;",*")+COUNTIF(B9:C9,E21)+COUNTIF(B9:C9,"*,"&amp;E21&amp;",*")+COUNTIF(E9:F9,E21)+COUNTIF(E9:F9,"*,"&amp;E21&amp;",*")+COUNTIF(H9:I9,E21)+COUNTIF(H9:I9,"*,"&amp;E21&amp;",*")+COUNTIF(K9:L9,E21)+COUNTIF(K9:L9,"*,"&amp;E21&amp;",*")+COUNTIF(N9:O9,E21)+COUNTIF(N9:O9,"*,"&amp;E21&amp;",*")+COUNTIF(B11:C11,E21)+COUNTIF(B11:C11,"*,"&amp;E21&amp;",*")+COUNTIF(E11:F11,E21)+COUNTIF(E11:F11,"*,"&amp;E21&amp;",*")+COUNTIF(H11:I11,E21)+COUNTIF(H11:I11,"*,"&amp;E21&amp;",*")+COUNTIF(K11:L11,E21)+COUNTIF(K11:L11,"*,"&amp;E21&amp;",*")+COUNTIF(N11:O11,E21)+COUNTIF(N11:O11,"*,"&amp;E21&amp;",*")+COUNTIF(B13:C13,E21)+COUNTIF(B13:C13,"*,"&amp;E21&amp;",*")+COUNTIF(E13:F13,E21)+COUNTIF(E13:F13,"*,"&amp;E21&amp;",*")+COUNTIF(H13:I13,E21)+COUNTIF(H13:I13,"*,"&amp;E21&amp;",*")+COUNTIF(K13:L13,E21)+COUNTIF(K13:L13,"*,"&amp;E21&amp;",*")+COUNTIF(N13:O13,E21)+COUNTIF(N13:O13,"*,"&amp;E21&amp;",*")+COUNTIF(B15:C15,E21)+COUNTIF(B15:C15,"*,"&amp;E21&amp;",*")+COUNTIF(E15:F15,E21)+COUNTIF(E15:F15,"*,"&amp;E21&amp;",*")+COUNTIF(H15:I15,E21)+COUNTIF(H15:I15,"*,"&amp;E21&amp;",*")+COUNTIF(K15:L15,E21)+COUNTIF(K15:L15,"*,"&amp;E21&amp;",*")+COUNTIF(N15:O15,E21)+COUNTIF(N15:O15,"*,"&amp;E21&amp;",*")+COUNTIF(B17:C17,E21)+COUNTIF(B17:C17,"*,"&amp;E21&amp;",*")+COUNTIF(E17:F17,E21)+COUNTIF(E17:F17,"*,"&amp;E21&amp;",*")+COUNTIF(H17:I17,E21)+COUNTIF(H17:I17,"*,"&amp;E21&amp;",*")+COUNTIF(K17:L17,E21)+COUNTIF(K17:L17,"*,"&amp;E21&amp;",*")+COUNTIF(N17:O17,E21)+COUNTIF(N17:O17,"*,"&amp;E21&amp;",*")=0,"",COUNTIF(B5:C5,E21)+COUNTIF(B5:C5,"*,"&amp;E21&amp;",*")+COUNTIF(E5:F5,E21)+COUNTIF(E5:F5,"*,"&amp;E21&amp;",*")+COUNTIF(H5:I5,E21)+COUNTIF(H5:I5,"*,"&amp;E21&amp;",*")+COUNTIF(K5:L5,E21)+COUNTIF(K5:L5,"*,"&amp;E21&amp;",*")+COUNTIF(N5:O5,E21)+COUNTIF(N5:O5,"*,"&amp;E21&amp;",*")+COUNTIF(B7:C7,E21)+COUNTIF(B7:C7,"*,"&amp;E21&amp;",*")+COUNTIF(E7:F7,E21)+COUNTIF(E7:F7,"*,"&amp;E21&amp;",*")+COUNTIF(H7:I7,E21)+COUNTIF(H7:I7,"*,"&amp;E21&amp;",*")+COUNTIF(K7:L7,E21)+COUNTIF(K7:L7,"*,"&amp;E21&amp;",*")+COUNTIF(N7:O7,E21)+COUNTIF(N7:O7,"*,"&amp;E21&amp;",*")+COUNTIF(B9:C9,E21)+COUNTIF(B9:C9,"*,"&amp;E21&amp;",*")+COUNTIF(E9:F9,E21)+COUNTIF(E9:F9,"*,"&amp;E21&amp;",*")+COUNTIF(H9:I9,E21)+COUNTIF(H9:I9,"*,"&amp;E21&amp;",*")+COUNTIF(K9:L9,E21)+COUNTIF(K9:L9,"*,"&amp;E21&amp;",*")+COUNTIF(N9:O9,E21)+COUNTIF(N9:O9,"*,"&amp;E21&amp;",*")+COUNTIF(B11:C11,E21)+COUNTIF(B11:C11,"*,"&amp;E21&amp;",*")+COUNTIF(E11:F11,E21)+COUNTIF(E11:F11,"*,"&amp;E21&amp;",*")+COUNTIF(H11:I11,E21)+COUNTIF(H11:I11,"*,"&amp;E21&amp;",*")+COUNTIF(K11:L11,E21)+COUNTIF(K11:L11,"*,"&amp;E21&amp;",*")+COUNTIF(N11:O11,E21)+COUNTIF(N11:O11,"*,"&amp;E21&amp;",*")+COUNTIF(B13:C13,E21)+COUNTIF(B13:C13,"*,"&amp;E21&amp;",*")+COUNTIF(E13:F13,E21)+COUNTIF(E13:F13,"*,"&amp;E21&amp;",*")+COUNTIF(H13:I13,E21)+COUNTIF(H13:I13,"*,"&amp;E21&amp;",*")+COUNTIF(K13:L13,E21)+COUNTIF(K13:L13,"*,"&amp;E21&amp;",*")+COUNTIF(N13:O13,E21)+COUNTIF(N13:O13,"*,"&amp;E21&amp;",*")+COUNTIF(B15:C15,E21)+COUNTIF(B15:C15,"*,"&amp;E21&amp;",*")+COUNTIF(E15:F15,E21)+COUNTIF(E15:F15,"*,"&amp;E21&amp;",*")+COUNTIF(H15:I15,E21)+COUNTIF(H15:I15,"*,"&amp;E21&amp;",*")+COUNTIF(K15:L15,E21)+COUNTIF(K15:L15,"*,"&amp;E21&amp;",*")+COUNTIF(N15:O15,E21)+COUNTIF(N15:O15,"*,"&amp;E21&amp;",*")+COUNTIF(B17:C17,E21)+COUNTIF(B17:C17,"*,"&amp;E21&amp;",*")+COUNTIF(E17:F17,E21)+COUNTIF(E17:F17,"*,"&amp;E21&amp;",*")+COUNTIF(H17:I17,E21)+COUNTIF(H17:I17,"*,"&amp;E21&amp;",*")+COUNTIF(K17:L17,E21)+COUNTIF(K17:L17,"*,"&amp;E21&amp;",*")+COUNTIF(N17:O17,E21)+COUNTIF(N17:O17,"*,"&amp;E21&amp;",*")))</f>
        <v/>
      </c>
      <c r="F24" s="21" t="str">
        <f>IF(F21="","",IF(COUNTIF(B5:C5,F21)+COUNTIF(B5:C5,"*,"&amp;F21&amp;",*")+COUNTIF(E5:F5,F21)+COUNTIF(E5:F5,"*,"&amp;F21&amp;",*")+COUNTIF(H5:I5,F21)+COUNTIF(H5:I5,"*,"&amp;F21&amp;",*")+COUNTIF(K5:L5,F21)+COUNTIF(K5:L5,"*,"&amp;F21&amp;",*")+COUNTIF(N5:O5,F21)+COUNTIF(N5:O5,"*,"&amp;F21&amp;",*")+COUNTIF(B7:C7,F21)+COUNTIF(B7:C7,"*,"&amp;F21&amp;",*")+COUNTIF(E7:F7,F21)+COUNTIF(E7:F7,"*,"&amp;F21&amp;",*")+COUNTIF(H7:I7,F21)+COUNTIF(H7:I7,"*,"&amp;F21&amp;",*")+COUNTIF(K7:L7,F21)+COUNTIF(K7:L7,"*,"&amp;F21&amp;",*")+COUNTIF(N7:O7,F21)+COUNTIF(N7:O7,"*,"&amp;F21&amp;",*")+COUNTIF(B9:C9,F21)+COUNTIF(B9:C9,"*,"&amp;F21&amp;",*")+COUNTIF(E9:F9,F21)+COUNTIF(E9:F9,"*,"&amp;F21&amp;",*")+COUNTIF(H9:I9,F21)+COUNTIF(H9:I9,"*,"&amp;F21&amp;",*")+COUNTIF(K9:L9,F21)+COUNTIF(K9:L9,"*,"&amp;F21&amp;",*")+COUNTIF(N9:O9,F21)+COUNTIF(N9:O9,"*,"&amp;F21&amp;",*")+COUNTIF(B11:C11,F21)+COUNTIF(B11:C11,"*,"&amp;F21&amp;",*")+COUNTIF(E11:F11,F21)+COUNTIF(E11:F11,"*,"&amp;F21&amp;",*")+COUNTIF(H11:I11,F21)+COUNTIF(H11:I11,"*,"&amp;F21&amp;",*")+COUNTIF(K11:L11,F21)+COUNTIF(K11:L11,"*,"&amp;F21&amp;",*")+COUNTIF(N11:O11,F21)+COUNTIF(N11:O11,"*,"&amp;F21&amp;",*")+COUNTIF(B13:C13,F21)+COUNTIF(B13:C13,"*,"&amp;F21&amp;",*")+COUNTIF(E13:F13,F21)+COUNTIF(E13:F13,"*,"&amp;F21&amp;",*")+COUNTIF(H13:I13,F21)+COUNTIF(H13:I13,"*,"&amp;F21&amp;",*")+COUNTIF(K13:L13,F21)+COUNTIF(K13:L13,"*,"&amp;F21&amp;",*")+COUNTIF(N13:O13,F21)+COUNTIF(N13:O13,"*,"&amp;F21&amp;",*")+COUNTIF(B15:C15,F21)+COUNTIF(B15:C15,"*,"&amp;F21&amp;",*")+COUNTIF(E15:F15,F21)+COUNTIF(E15:F15,"*,"&amp;F21&amp;",*")+COUNTIF(H15:I15,F21)+COUNTIF(H15:I15,"*,"&amp;F21&amp;",*")+COUNTIF(K15:L15,F21)+COUNTIF(K15:L15,"*,"&amp;F21&amp;",*")+COUNTIF(N15:O15,F21)+COUNTIF(N15:O15,"*,"&amp;F21&amp;",*")+COUNTIF(B17:C17,F21)+COUNTIF(B17:C17,"*,"&amp;F21&amp;",*")+COUNTIF(E17:F17,F21)+COUNTIF(E17:F17,"*,"&amp;F21&amp;",*")+COUNTIF(H17:I17,F21)+COUNTIF(H17:I17,"*,"&amp;F21&amp;",*")+COUNTIF(K17:L17,F21)+COUNTIF(K17:L17,"*,"&amp;F21&amp;",*")+COUNTIF(N17:O17,F21)+COUNTIF(N17:O17,"*,"&amp;F21&amp;",*")=0,"",COUNTIF(B5:C5,F21)+COUNTIF(B5:C5,"*,"&amp;F21&amp;",*")+COUNTIF(E5:F5,F21)+COUNTIF(E5:F5,"*,"&amp;F21&amp;",*")+COUNTIF(H5:I5,F21)+COUNTIF(H5:I5,"*,"&amp;F21&amp;",*")+COUNTIF(K5:L5,F21)+COUNTIF(K5:L5,"*,"&amp;F21&amp;",*")+COUNTIF(N5:O5,F21)+COUNTIF(N5:O5,"*,"&amp;F21&amp;",*")+COUNTIF(B7:C7,F21)+COUNTIF(B7:C7,"*,"&amp;F21&amp;",*")+COUNTIF(E7:F7,F21)+COUNTIF(E7:F7,"*,"&amp;F21&amp;",*")+COUNTIF(H7:I7,F21)+COUNTIF(H7:I7,"*,"&amp;F21&amp;",*")+COUNTIF(K7:L7,F21)+COUNTIF(K7:L7,"*,"&amp;F21&amp;",*")+COUNTIF(N7:O7,F21)+COUNTIF(N7:O7,"*,"&amp;F21&amp;",*")+COUNTIF(B9:C9,F21)+COUNTIF(B9:C9,"*,"&amp;F21&amp;",*")+COUNTIF(E9:F9,F21)+COUNTIF(E9:F9,"*,"&amp;F21&amp;",*")+COUNTIF(H9:I9,F21)+COUNTIF(H9:I9,"*,"&amp;F21&amp;",*")+COUNTIF(K9:L9,F21)+COUNTIF(K9:L9,"*,"&amp;F21&amp;",*")+COUNTIF(N9:O9,F21)+COUNTIF(N9:O9,"*,"&amp;F21&amp;",*")+COUNTIF(B11:C11,F21)+COUNTIF(B11:C11,"*,"&amp;F21&amp;",*")+COUNTIF(E11:F11,F21)+COUNTIF(E11:F11,"*,"&amp;F21&amp;",*")+COUNTIF(H11:I11,F21)+COUNTIF(H11:I11,"*,"&amp;F21&amp;",*")+COUNTIF(K11:L11,F21)+COUNTIF(K11:L11,"*,"&amp;F21&amp;",*")+COUNTIF(N11:O11,F21)+COUNTIF(N11:O11,"*,"&amp;F21&amp;",*")+COUNTIF(B13:C13,F21)+COUNTIF(B13:C13,"*,"&amp;F21&amp;",*")+COUNTIF(E13:F13,F21)+COUNTIF(E13:F13,"*,"&amp;F21&amp;",*")+COUNTIF(H13:I13,F21)+COUNTIF(H13:I13,"*,"&amp;F21&amp;",*")+COUNTIF(K13:L13,F21)+COUNTIF(K13:L13,"*,"&amp;F21&amp;",*")+COUNTIF(N13:O13,F21)+COUNTIF(N13:O13,"*,"&amp;F21&amp;",*")+COUNTIF(B15:C15,F21)+COUNTIF(B15:C15,"*,"&amp;F21&amp;",*")+COUNTIF(E15:F15,F21)+COUNTIF(E15:F15,"*,"&amp;F21&amp;",*")+COUNTIF(H15:I15,F21)+COUNTIF(H15:I15,"*,"&amp;F21&amp;",*")+COUNTIF(K15:L15,F21)+COUNTIF(K15:L15,"*,"&amp;F21&amp;",*")+COUNTIF(N15:O15,F21)+COUNTIF(N15:O15,"*,"&amp;F21&amp;",*")+COUNTIF(B17:C17,F21)+COUNTIF(B17:C17,"*,"&amp;F21&amp;",*")+COUNTIF(E17:F17,F21)+COUNTIF(E17:F17,"*,"&amp;F21&amp;",*")+COUNTIF(H17:I17,F21)+COUNTIF(H17:I17,"*,"&amp;F21&amp;",*")+COUNTIF(K17:L17,F21)+COUNTIF(K17:L17,"*,"&amp;F21&amp;",*")+COUNTIF(N17:O17,F21)+COUNTIF(N17:O17,"*,"&amp;F21&amp;",*")))</f>
        <v/>
      </c>
      <c r="G24" s="21" t="str">
        <f>IF(G21="","",IF(COUNTIF(B5:C5,G21)+COUNTIF(B5:C5,"*,"&amp;G21&amp;",*")+COUNTIF(E5:F5,G21)+COUNTIF(E5:F5,"*,"&amp;G21&amp;",*")+COUNTIF(H5:I5,G21)+COUNTIF(H5:I5,"*,"&amp;G21&amp;",*")+COUNTIF(K5:L5,G21)+COUNTIF(K5:L5,"*,"&amp;G21&amp;",*")+COUNTIF(N5:O5,G21)+COUNTIF(N5:O5,"*,"&amp;G21&amp;",*")+COUNTIF(B7:C7,G21)+COUNTIF(B7:C7,"*,"&amp;G21&amp;",*")+COUNTIF(E7:F7,G21)+COUNTIF(E7:F7,"*,"&amp;G21&amp;",*")+COUNTIF(H7:I7,G21)+COUNTIF(H7:I7,"*,"&amp;G21&amp;",*")+COUNTIF(K7:L7,G21)+COUNTIF(K7:L7,"*,"&amp;G21&amp;",*")+COUNTIF(N7:O7,G21)+COUNTIF(N7:O7,"*,"&amp;G21&amp;",*")+COUNTIF(B9:C9,G21)+COUNTIF(B9:C9,"*,"&amp;G21&amp;",*")+COUNTIF(E9:F9,G21)+COUNTIF(E9:F9,"*,"&amp;G21&amp;",*")+COUNTIF(H9:I9,G21)+COUNTIF(H9:I9,"*,"&amp;G21&amp;",*")+COUNTIF(K9:L9,G21)+COUNTIF(K9:L9,"*,"&amp;G21&amp;",*")+COUNTIF(N9:O9,G21)+COUNTIF(N9:O9,"*,"&amp;G21&amp;",*")+COUNTIF(B11:C11,G21)+COUNTIF(B11:C11,"*,"&amp;G21&amp;",*")+COUNTIF(E11:F11,G21)+COUNTIF(E11:F11,"*,"&amp;G21&amp;",*")+COUNTIF(H11:I11,G21)+COUNTIF(H11:I11,"*,"&amp;G21&amp;",*")+COUNTIF(K11:L11,G21)+COUNTIF(K11:L11,"*,"&amp;G21&amp;",*")+COUNTIF(N11:O11,G21)+COUNTIF(N11:O11,"*,"&amp;G21&amp;",*")+COUNTIF(B13:C13,G21)+COUNTIF(B13:C13,"*,"&amp;G21&amp;",*")+COUNTIF(E13:F13,G21)+COUNTIF(E13:F13,"*,"&amp;G21&amp;",*")+COUNTIF(H13:I13,G21)+COUNTIF(H13:I13,"*,"&amp;G21&amp;",*")+COUNTIF(K13:L13,G21)+COUNTIF(K13:L13,"*,"&amp;G21&amp;",*")+COUNTIF(N13:O13,G21)+COUNTIF(N13:O13,"*,"&amp;G21&amp;",*")+COUNTIF(B15:C15,G21)+COUNTIF(B15:C15,"*,"&amp;G21&amp;",*")+COUNTIF(E15:F15,G21)+COUNTIF(E15:F15,"*,"&amp;G21&amp;",*")+COUNTIF(H15:I15,G21)+COUNTIF(H15:I15,"*,"&amp;G21&amp;",*")+COUNTIF(K15:L15,G21)+COUNTIF(K15:L15,"*,"&amp;G21&amp;",*")+COUNTIF(N15:O15,G21)+COUNTIF(N15:O15,"*,"&amp;G21&amp;",*")+COUNTIF(B17:C17,G21)+COUNTIF(B17:C17,"*,"&amp;G21&amp;",*")+COUNTIF(E17:F17,G21)+COUNTIF(E17:F17,"*,"&amp;G21&amp;",*")+COUNTIF(H17:I17,G21)+COUNTIF(H17:I17,"*,"&amp;G21&amp;",*")+COUNTIF(K17:L17,G21)+COUNTIF(K17:L17,"*,"&amp;G21&amp;",*")+COUNTIF(N17:O17,G21)+COUNTIF(N17:O17,"*,"&amp;G21&amp;",*")=0,"",COUNTIF(B5:C5,G21)+COUNTIF(B5:C5,"*,"&amp;G21&amp;",*")+COUNTIF(E5:F5,G21)+COUNTIF(E5:F5,"*,"&amp;G21&amp;",*")+COUNTIF(H5:I5,G21)+COUNTIF(H5:I5,"*,"&amp;G21&amp;",*")+COUNTIF(K5:L5,G21)+COUNTIF(K5:L5,"*,"&amp;G21&amp;",*")+COUNTIF(N5:O5,G21)+COUNTIF(N5:O5,"*,"&amp;G21&amp;",*")+COUNTIF(B7:C7,G21)+COUNTIF(B7:C7,"*,"&amp;G21&amp;",*")+COUNTIF(E7:F7,G21)+COUNTIF(E7:F7,"*,"&amp;G21&amp;",*")+COUNTIF(H7:I7,G21)+COUNTIF(H7:I7,"*,"&amp;G21&amp;",*")+COUNTIF(K7:L7,G21)+COUNTIF(K7:L7,"*,"&amp;G21&amp;",*")+COUNTIF(N7:O7,G21)+COUNTIF(N7:O7,"*,"&amp;G21&amp;",*")+COUNTIF(B9:C9,G21)+COUNTIF(B9:C9,"*,"&amp;G21&amp;",*")+COUNTIF(E9:F9,G21)+COUNTIF(E9:F9,"*,"&amp;G21&amp;",*")+COUNTIF(H9:I9,G21)+COUNTIF(H9:I9,"*,"&amp;G21&amp;",*")+COUNTIF(K9:L9,G21)+COUNTIF(K9:L9,"*,"&amp;G21&amp;",*")+COUNTIF(N9:O9,G21)+COUNTIF(N9:O9,"*,"&amp;G21&amp;",*")+COUNTIF(B11:C11,G21)+COUNTIF(B11:C11,"*,"&amp;G21&amp;",*")+COUNTIF(E11:F11,G21)+COUNTIF(E11:F11,"*,"&amp;G21&amp;",*")+COUNTIF(H11:I11,G21)+COUNTIF(H11:I11,"*,"&amp;G21&amp;",*")+COUNTIF(K11:L11,G21)+COUNTIF(K11:L11,"*,"&amp;G21&amp;",*")+COUNTIF(N11:O11,G21)+COUNTIF(N11:O11,"*,"&amp;G21&amp;",*")+COUNTIF(B13:C13,G21)+COUNTIF(B13:C13,"*,"&amp;G21&amp;",*")+COUNTIF(E13:F13,G21)+COUNTIF(E13:F13,"*,"&amp;G21&amp;",*")+COUNTIF(H13:I13,G21)+COUNTIF(H13:I13,"*,"&amp;G21&amp;",*")+COUNTIF(K13:L13,G21)+COUNTIF(K13:L13,"*,"&amp;G21&amp;",*")+COUNTIF(N13:O13,G21)+COUNTIF(N13:O13,"*,"&amp;G21&amp;",*")+COUNTIF(B15:C15,G21)+COUNTIF(B15:C15,"*,"&amp;G21&amp;",*")+COUNTIF(E15:F15,G21)+COUNTIF(E15:F15,"*,"&amp;G21&amp;",*")+COUNTIF(H15:I15,G21)+COUNTIF(H15:I15,"*,"&amp;G21&amp;",*")+COUNTIF(K15:L15,G21)+COUNTIF(K15:L15,"*,"&amp;G21&amp;",*")+COUNTIF(N15:O15,G21)+COUNTIF(N15:O15,"*,"&amp;G21&amp;",*")+COUNTIF(B17:C17,G21)+COUNTIF(B17:C17,"*,"&amp;G21&amp;",*")+COUNTIF(E17:F17,G21)+COUNTIF(E17:F17,"*,"&amp;G21&amp;",*")+COUNTIF(H17:I17,G21)+COUNTIF(H17:I17,"*,"&amp;G21&amp;",*")+COUNTIF(K17:L17,G21)+COUNTIF(K17:L17,"*,"&amp;G21&amp;",*")+COUNTIF(N17:O17,G21)+COUNTIF(N17:O17,"*,"&amp;G21&amp;",*")))</f>
        <v/>
      </c>
      <c r="H24" s="21"/>
      <c r="I24" s="21"/>
      <c r="J24" s="21"/>
      <c r="K24" s="21"/>
      <c r="L24" s="21"/>
      <c r="M24" s="21">
        <f>IF(COUNTIF(B5:C5,"特活")+COUNTIF(B5:C5,"学活")+COUNTIF(E5:F5,"特活")+COUNTIF(E5:F5,"学活")+COUNTIF(H5:I5,"特活")+COUNTIF(H5:I5,"学活")+COUNTIF(K5:L5,"特活")+COUNTIF(K5:L5,"学活")+COUNTIF(N5:O5,"特活")+COUNTIF(N5:O5,"学活")+COUNTIF(B7:C7,"特活")+COUNTIF(B7:C7,"学活")+COUNTIF(E7:F7,"特活")+COUNTIF(E7:F7,"学活")+COUNTIF(H7:I7,"特活")+COUNTIF(H7:I7,"学活")+COUNTIF(K7:L7,"特活")+COUNTIF(K7:L7,"学活")+COUNTIF(N7:O7,"特活")+COUNTIF(N7:O7,"学活")+COUNTIF(B9:C9,"特活")+COUNTIF(B9:C9,"学活")+COUNTIF(E9:F9,"特活")+COUNTIF(E9:F9,"学活")+COUNTIF(H9:I9,"特活")+COUNTIF(H9:I9,"学活")+COUNTIF(K9:L9,"特活")+COUNTIF(K9:L9,"学活")+COUNTIF(N9:O9,"特活")+COUNTIF(N9:O9,"学活")+COUNTIF(B11:C11,"特活")+COUNTIF(B11:C11,"学活")+COUNTIF(E11:F11,"特活")+COUNTIF(E11:F11,"学活")+COUNTIF(H11:I11,"特活")+COUNTIF(H11:I11,"学活")+COUNTIF(K11:L11,"特活")+COUNTIF(K11:L11,"学活")+COUNTIF(N11:O11,"特活")+COUNTIF(N11:O11,"学活")+COUNTIF(B13:C13,"特活")+COUNTIF(B13:C13,"学活")+COUNTIF(E13:F13,"特活")+COUNTIF(E13:F13,"学活")+COUNTIF(H13:I13,"特活")+COUNTIF(H13:I13,"学活")+COUNTIF(K13:L13,"特活")+COUNTIF(K13:L13,"学活")+COUNTIF(N13:O13,"特活")+COUNTIF(N13:O13,"学活")+COUNTIF(B15:C15,"特活")+COUNTIF(B15:C15,"学活")+COUNTIF(E15:F15,"特活")+COUNTIF(E15:F15,"学活")+COUNTIF(H15:I15,"特活")+COUNTIF(H15:I15,"学活")+COUNTIF(K15:L15,"特活")+COUNTIF(K15:L15,"学活")+COUNTIF(N15:O15,"特活")+COUNTIF(N15:O15,"学活")+COUNTIF(B17:C17,"特活")+COUNTIF(B17:C17,"学活")+COUNTIF(E17:F17,"特活")+COUNTIF(E17:F17,"学活")+COUNTIF(H17:I17,"特活")+COUNTIF(H17:I17,"学活")+COUNTIF(K17:L17,"特活")+COUNTIF(K17:L17,"学活")+COUNTIF(N17:O17,"特活")+COUNTIF(N17:O17,"学活")=0,"",COUNTIF(B5:C5,"特活")+COUNTIF(B5:C5,"学活")+COUNTIF(E5:F5,"特活")+COUNTIF(E5:F5,"学活")+COUNTIF(H5:I5,"特活")+COUNTIF(H5:I5,"学活")+COUNTIF(K5:L5,"特活")+COUNTIF(K5:L5,"学活")+COUNTIF(N5:O5,"特活")+COUNTIF(N5:O5,"学活")+COUNTIF(B7:C7,"特活")+COUNTIF(B7:C7,"学活")+COUNTIF(E7:F7,"特活")+COUNTIF(E7:F7,"学活")+COUNTIF(H7:I7,"特活")+COUNTIF(H7:I7,"学活")+COUNTIF(K7:L7,"特活")+COUNTIF(K7:L7,"学活")+COUNTIF(N7:O7,"特活")+COUNTIF(N7:O7,"学活")+COUNTIF(B9:C9,"特活")+COUNTIF(B9:C9,"学活")+COUNTIF(E9:F9,"特活")+COUNTIF(E9:F9,"学活")+COUNTIF(H9:I9,"特活")+COUNTIF(H9:I9,"学活")+COUNTIF(K9:L9,"特活")+COUNTIF(K9:L9,"学活")+COUNTIF(N9:O9,"特活")+COUNTIF(N9:O9,"学活")+COUNTIF(B11:C11,"特活")+COUNTIF(B11:C11,"学活")+COUNTIF(E11:F11,"特活")+COUNTIF(E11:F11,"学活")+COUNTIF(H11:I11,"特活")+COUNTIF(H11:I11,"学活")+COUNTIF(K11:L11,"特活")+COUNTIF(K11:L11,"学活")+COUNTIF(N11:O11,"特活")+COUNTIF(N11:O11,"学活")+COUNTIF(B13:C13,"特活")+COUNTIF(B13:C13,"学活")+COUNTIF(E13:F13,"特活")+COUNTIF(E13:F13,"学活")+COUNTIF(H13:I13,"特活")+COUNTIF(H13:I13,"学活")+COUNTIF(K13:L13,"特活")+COUNTIF(K13:L13,"学活")+COUNTIF(N13:O13,"特活")+COUNTIF(N13:O13,"学活")+COUNTIF(B15:C15,"特活")+COUNTIF(B15:C15,"学活")+COUNTIF(E15:F15,"特活")+COUNTIF(E15:F15,"学活")+COUNTIF(H15:I15,"特活")+COUNTIF(H15:I15,"学活")+COUNTIF(K15:L15,"特活")+COUNTIF(K15:L15,"学活")+COUNTIF(N15:O15,"特活")+COUNTIF(N15:O15,"学活")+COUNTIF(B17:C17,"特活")+COUNTIF(B17:C17,"学活")+COUNTIF(E17:F17,"特活")+COUNTIF(E17:F17,"学活")+COUNTIF(H17:I17,"特活")+COUNTIF(H17:I17,"学活")+COUNTIF(K17:L17,"特活")+COUNTIF(K17:L17,"学活")+COUNTIF(N17:O17,"特活")+COUNTIF(N17:O17,"学活"))</f>
        <v>14</v>
      </c>
      <c r="N24" s="21" t="str">
        <f>IF(COUNTIF(B5:C5,N21)+COUNTIF(B5:C5,"*,"&amp;N21&amp;",*")+COUNTIF(E5:F5,N21)+COUNTIF(E5:F5,"*,"&amp;N21&amp;",*")+COUNTIF(H5:I5,N21)+COUNTIF(H5:I5,"*,"&amp;N21&amp;",*")+COUNTIF(K5:L5,N21)+COUNTIF(K5:L5,"*,"&amp;N21&amp;",*")+COUNTIF(N5:O5,N21)+COUNTIF(N5:O5,"*,"&amp;N21&amp;",*")+COUNTIF(B7:C7,N21)+COUNTIF(B7:C7,"*,"&amp;N21&amp;",*")+COUNTIF(E7:F7,N21)+COUNTIF(E7:F7,"*,"&amp;N21&amp;",*")+COUNTIF(H7:I7,N21)+COUNTIF(H7:I7,"*,"&amp;N21&amp;",*")+COUNTIF(K7:L7,N21)+COUNTIF(K7:L7,"*,"&amp;N21&amp;",*")+COUNTIF(N7:O7,N21)+COUNTIF(N7:O7,"*,"&amp;N21&amp;",*")+COUNTIF(B9:C9,N21)+COUNTIF(B9:C9,"*,"&amp;N21&amp;",*")+COUNTIF(E9:F9,N21)+COUNTIF(E9:F9,"*,"&amp;N21&amp;",*")+COUNTIF(H9:I9,N21)+COUNTIF(H9:I9,"*,"&amp;N21&amp;",*")+COUNTIF(K9:L9,N21)+COUNTIF(K9:L9,"*,"&amp;N21&amp;",*")+COUNTIF(N9:O9,N21)+COUNTIF(N9:O9,"*,"&amp;N21&amp;",*")+COUNTIF(B11:C11,N21)+COUNTIF(B11:C11,"*,"&amp;N21&amp;",*")+COUNTIF(E11:F11,N21)+COUNTIF(E11:F11,"*,"&amp;N21&amp;",*")+COUNTIF(H11:I11,N21)+COUNTIF(H11:I11,"*,"&amp;N21&amp;",*")+COUNTIF(K11:L11,N21)+COUNTIF(K11:L11,"*,"&amp;N21&amp;",*")+COUNTIF(N11:O11,N21)+COUNTIF(N11:O11,"*,"&amp;N21&amp;",*")+COUNTIF(B13:C13,N21)+COUNTIF(B13:C13,"*,"&amp;N21&amp;",*")+COUNTIF(E13:F13,N21)+COUNTIF(E13:F13,"*,"&amp;N21&amp;",*")+COUNTIF(H13:I13,N21)+COUNTIF(H13:I13,"*,"&amp;N21&amp;",*")+COUNTIF(K13:L13,N21)+COUNTIF(K13:L13,"*,"&amp;N21&amp;",*")+COUNTIF(N13:O13,N21)+COUNTIF(N13:O13,"*,"&amp;N21&amp;",*")+COUNTIF(B15:C15,N21)+COUNTIF(B15:C15,"*,"&amp;N21&amp;",*")+COUNTIF(E15:F15,N21)+COUNTIF(E15:F15,"*,"&amp;N21&amp;",*")+COUNTIF(H15:I15,N21)+COUNTIF(H15:I15,"*,"&amp;N21&amp;",*")+COUNTIF(K15:L15,N21)+COUNTIF(K15:L15,"*,"&amp;N21&amp;",*")+COUNTIF(N15:O15,N21)+COUNTIF(N15:O15,"*,"&amp;N21&amp;",*")+COUNTIF(B17:C17,N21)+COUNTIF(B17:C17,"*,"&amp;N21&amp;",*")+COUNTIF(E17:F17,N21)+COUNTIF(E17:F17,"*,"&amp;N21&amp;",*")+COUNTIF(H17:I17,N21)+COUNTIF(H17:I17,"*,"&amp;N21&amp;",*")+COUNTIF(K17:L17,N21)+COUNTIF(K17:L17,"*,"&amp;N21&amp;",*")+COUNTIF(N17:O17,N21)+COUNTIF(N17:O17,"*,"&amp;N21&amp;",*")=0,"",COUNTIF(B5:C5,N21)+COUNTIF(B5:C5,"*,"&amp;N21&amp;",*")+COUNTIF(E5:F5,N21)+COUNTIF(E5:F5,"*,"&amp;N21&amp;",*")+COUNTIF(H5:I5,N21)+COUNTIF(H5:I5,"*,"&amp;N21&amp;",*")+COUNTIF(K5:L5,N21)+COUNTIF(K5:L5,"*,"&amp;N21&amp;",*")+COUNTIF(N5:O5,N21)+COUNTIF(N5:O5,"*,"&amp;N21&amp;",*")+COUNTIF(B7:C7,N21)+COUNTIF(B7:C7,"*,"&amp;N21&amp;",*")+COUNTIF(E7:F7,N21)+COUNTIF(E7:F7,"*,"&amp;N21&amp;",*")+COUNTIF(H7:I7,N21)+COUNTIF(H7:I7,"*,"&amp;N21&amp;",*")+COUNTIF(K7:L7,N21)+COUNTIF(K7:L7,"*,"&amp;N21&amp;",*")+COUNTIF(N7:O7,N21)+COUNTIF(N7:O7,"*,"&amp;N21&amp;",*")+COUNTIF(B9:C9,N21)+COUNTIF(B9:C9,"*,"&amp;N21&amp;",*")+COUNTIF(E9:F9,N21)+COUNTIF(E9:F9,"*,"&amp;N21&amp;",*")+COUNTIF(H9:I9,N21)+COUNTIF(H9:I9,"*,"&amp;N21&amp;",*")+COUNTIF(K9:L9,N21)+COUNTIF(K9:L9,"*,"&amp;N21&amp;",*")+COUNTIF(N9:O9,N21)+COUNTIF(N9:O9,"*,"&amp;N21&amp;",*")+COUNTIF(B11:C11,N21)+COUNTIF(B11:C11,"*,"&amp;N21&amp;",*")+COUNTIF(E11:F11,N21)+COUNTIF(E11:F11,"*,"&amp;N21&amp;",*")+COUNTIF(H11:I11,N21)+COUNTIF(H11:I11,"*,"&amp;N21&amp;",*")+COUNTIF(K11:L11,N21)+COUNTIF(K11:L11,"*,"&amp;N21&amp;",*")+COUNTIF(N11:O11,N21)+COUNTIF(N11:O11,"*,"&amp;N21&amp;",*")+COUNTIF(B13:C13,N21)+COUNTIF(B13:C13,"*,"&amp;N21&amp;",*")+COUNTIF(E13:F13,N21)+COUNTIF(E13:F13,"*,"&amp;N21&amp;",*")+COUNTIF(H13:I13,N21)+COUNTIF(H13:I13,"*,"&amp;N21&amp;",*")+COUNTIF(K13:L13,N21)+COUNTIF(K13:L13,"*,"&amp;N21&amp;",*")+COUNTIF(N13:O13,N21)+COUNTIF(N13:O13,"*,"&amp;N21&amp;",*")+COUNTIF(B15:C15,N21)+COUNTIF(B15:C15,"*,"&amp;N21&amp;",*")+COUNTIF(E15:F15,N21)+COUNTIF(E15:F15,"*,"&amp;N21&amp;",*")+COUNTIF(H15:I15,N21)+COUNTIF(H15:I15,"*,"&amp;N21&amp;",*")+COUNTIF(K15:L15,N21)+COUNTIF(K15:L15,"*,"&amp;N21&amp;",*")+COUNTIF(N15:O15,N21)+COUNTIF(N15:O15,"*,"&amp;N21&amp;",*")+COUNTIF(B17:C17,N21)+COUNTIF(B17:C17,"*,"&amp;N21&amp;",*")+COUNTIF(E17:F17,N21)+COUNTIF(E17:F17,"*,"&amp;N21&amp;",*")+COUNTIF(H17:I17,N21)+COUNTIF(H17:I17,"*,"&amp;N21&amp;",*")+COUNTIF(K17:L17,N21)+COUNTIF(K17:L17,"*,"&amp;N21&amp;",*")+COUNTIF(N17:O17,N21)+COUNTIF(N17:O17,"*,"&amp;N21&amp;",*"))</f>
        <v/>
      </c>
      <c r="O24" s="21" t="str">
        <f>IF(COUNTIF(B5:C5,O21)+COUNTIF(B5:C5,"*,"&amp;O21&amp;",*")+COUNTIF(E5:F5,O21)+COUNTIF(E5:F5,"*,"&amp;O21&amp;",*")+COUNTIF(H5:I5,O21)+COUNTIF(H5:I5,"*,"&amp;O21&amp;",*")+COUNTIF(K5:L5,O21)+COUNTIF(K5:L5,"*,"&amp;O21&amp;",*")+COUNTIF(N5:O5,O21)+COUNTIF(N5:O5,"*,"&amp;O21&amp;",*")+COUNTIF(B7:C7,O21)+COUNTIF(B7:C7,"*,"&amp;O21&amp;",*")+COUNTIF(E7:F7,O21)+COUNTIF(E7:F7,"*,"&amp;O21&amp;",*")+COUNTIF(H7:I7,O21)+COUNTIF(H7:I7,"*,"&amp;O21&amp;",*")+COUNTIF(K7:L7,O21)+COUNTIF(K7:L7,"*,"&amp;O21&amp;",*")+COUNTIF(N7:O7,O21)+COUNTIF(N7:O7,"*,"&amp;O21&amp;",*")+COUNTIF(B9:C9,O21)+COUNTIF(B9:C9,"*,"&amp;O21&amp;",*")+COUNTIF(E9:F9,O21)+COUNTIF(E9:F9,"*,"&amp;O21&amp;",*")+COUNTIF(H9:I9,O21)+COUNTIF(H9:I9,"*,"&amp;O21&amp;",*")+COUNTIF(K9:L9,O21)+COUNTIF(K9:L9,"*,"&amp;O21&amp;",*")+COUNTIF(N9:O9,O21)+COUNTIF(N9:O9,"*,"&amp;O21&amp;",*")+COUNTIF(B11:C11,O21)+COUNTIF(B11:C11,"*,"&amp;O21&amp;",*")+COUNTIF(E11:F11,O21)+COUNTIF(E11:F11,"*,"&amp;O21&amp;",*")+COUNTIF(H11:I11,O21)+COUNTIF(H11:I11,"*,"&amp;O21&amp;",*")+COUNTIF(K11:L11,O21)+COUNTIF(K11:L11,"*,"&amp;O21&amp;",*")+COUNTIF(N11:O11,O21)+COUNTIF(N11:O11,"*,"&amp;O21&amp;",*")+COUNTIF(B13:C13,O21)+COUNTIF(B13:C13,"*,"&amp;O21&amp;",*")+COUNTIF(E13:F13,O21)+COUNTIF(E13:F13,"*,"&amp;O21&amp;",*")+COUNTIF(H13:I13,O21)+COUNTIF(H13:I13,"*,"&amp;O21&amp;",*")+COUNTIF(K13:L13,O21)+COUNTIF(K13:L13,"*,"&amp;O21&amp;",*")+COUNTIF(N13:O13,O21)+COUNTIF(N13:O13,"*,"&amp;O21&amp;",*")+COUNTIF(B15:C15,O21)+COUNTIF(B15:C15,"*,"&amp;O21&amp;",*")+COUNTIF(E15:F15,O21)+COUNTIF(E15:F15,"*,"&amp;O21&amp;",*")+COUNTIF(H15:I15,O21)+COUNTIF(H15:I15,"*,"&amp;O21&amp;",*")+COUNTIF(K15:L15,O21)+COUNTIF(K15:L15,"*,"&amp;O21&amp;",*")+COUNTIF(N15:O15,O21)+COUNTIF(N15:O15,"*,"&amp;O21&amp;",*")+COUNTIF(B17:C17,O21)+COUNTIF(B17:C17,"*,"&amp;O21&amp;",*")+COUNTIF(E17:F17,O21)+COUNTIF(E17:F17,"*,"&amp;O21&amp;",*")+COUNTIF(H17:I17,O21)+COUNTIF(H17:I17,"*,"&amp;O21&amp;",*")+COUNTIF(K17:L17,O21)+COUNTIF(K17:L17,"*,"&amp;O21&amp;",*")+COUNTIF(N17:O17,O21)+COUNTIF(N17:O17,"*,"&amp;O21&amp;",*")=0,"",COUNTIF(B5:C5,O21)+COUNTIF(B5:C5,"*,"&amp;O21&amp;",*")+COUNTIF(E5:F5,O21)+COUNTIF(E5:F5,"*,"&amp;O21&amp;",*")+COUNTIF(H5:I5,O21)+COUNTIF(H5:I5,"*,"&amp;O21&amp;",*")+COUNTIF(K5:L5,O21)+COUNTIF(K5:L5,"*,"&amp;O21&amp;",*")+COUNTIF(N5:O5,O21)+COUNTIF(N5:O5,"*,"&amp;O21&amp;",*")+COUNTIF(B7:C7,O21)+COUNTIF(B7:C7,"*,"&amp;O21&amp;",*")+COUNTIF(E7:F7,O21)+COUNTIF(E7:F7,"*,"&amp;O21&amp;",*")+COUNTIF(H7:I7,O21)+COUNTIF(H7:I7,"*,"&amp;O21&amp;",*")+COUNTIF(K7:L7,O21)+COUNTIF(K7:L7,"*,"&amp;O21&amp;",*")+COUNTIF(N7:O7,O21)+COUNTIF(N7:O7,"*,"&amp;O21&amp;",*")+COUNTIF(B9:C9,O21)+COUNTIF(B9:C9,"*,"&amp;O21&amp;",*")+COUNTIF(E9:F9,O21)+COUNTIF(E9:F9,"*,"&amp;O21&amp;",*")+COUNTIF(H9:I9,O21)+COUNTIF(H9:I9,"*,"&amp;O21&amp;",*")+COUNTIF(K9:L9,O21)+COUNTIF(K9:L9,"*,"&amp;O21&amp;",*")+COUNTIF(N9:O9,O21)+COUNTIF(N9:O9,"*,"&amp;O21&amp;",*")+COUNTIF(B11:C11,O21)+COUNTIF(B11:C11,"*,"&amp;O21&amp;",*")+COUNTIF(E11:F11,O21)+COUNTIF(E11:F11,"*,"&amp;O21&amp;",*")+COUNTIF(H11:I11,O21)+COUNTIF(H11:I11,"*,"&amp;O21&amp;",*")+COUNTIF(K11:L11,O21)+COUNTIF(K11:L11,"*,"&amp;O21&amp;",*")+COUNTIF(N11:O11,O21)+COUNTIF(N11:O11,"*,"&amp;O21&amp;",*")+COUNTIF(B13:C13,O21)+COUNTIF(B13:C13,"*,"&amp;O21&amp;",*")+COUNTIF(E13:F13,O21)+COUNTIF(E13:F13,"*,"&amp;O21&amp;",*")+COUNTIF(H13:I13,O21)+COUNTIF(H13:I13,"*,"&amp;O21&amp;",*")+COUNTIF(K13:L13,O21)+COUNTIF(K13:L13,"*,"&amp;O21&amp;",*")+COUNTIF(N13:O13,O21)+COUNTIF(N13:O13,"*,"&amp;O21&amp;",*")+COUNTIF(B15:C15,O21)+COUNTIF(B15:C15,"*,"&amp;O21&amp;",*")+COUNTIF(E15:F15,O21)+COUNTIF(E15:F15,"*,"&amp;O21&amp;",*")+COUNTIF(H15:I15,O21)+COUNTIF(H15:I15,"*,"&amp;O21&amp;",*")+COUNTIF(K15:L15,O21)+COUNTIF(K15:L15,"*,"&amp;O21&amp;",*")+COUNTIF(N15:O15,O21)+COUNTIF(N15:O15,"*,"&amp;O21&amp;",*")+COUNTIF(B17:C17,O21)+COUNTIF(B17:C17,"*,"&amp;O21&amp;",*")+COUNTIF(E17:F17,O21)+COUNTIF(E17:F17,"*,"&amp;O21&amp;",*")+COUNTIF(H17:I17,O21)+COUNTIF(H17:I17,"*,"&amp;O21&amp;",*")+COUNTIF(K17:L17,O21)+COUNTIF(K17:L17,"*,"&amp;O21&amp;",*")+COUNTIF(N17:O17,O21)+COUNTIF(N17:O17,"*,"&amp;O21&amp;",*"))</f>
        <v/>
      </c>
      <c r="P24" s="22">
        <f>IF(SUM(B24:O24)=0,"",SUM(B24:O24))</f>
        <v>14</v>
      </c>
    </row>
    <row r="25" spans="1:16" ht="13.5" customHeight="1" x14ac:dyDescent="0.2">
      <c r="A25" s="23" t="s">
        <v>63</v>
      </c>
      <c r="B25" s="26"/>
      <c r="C25" s="26"/>
      <c r="D25" s="26"/>
      <c r="E25" s="26"/>
      <c r="F25" s="26"/>
      <c r="G25" s="26"/>
      <c r="H25" s="26"/>
      <c r="I25" s="26"/>
      <c r="J25" s="26"/>
      <c r="K25" s="26"/>
      <c r="L25" s="26"/>
      <c r="M25" s="26">
        <v>14</v>
      </c>
      <c r="N25" s="26"/>
      <c r="O25" s="24"/>
      <c r="P25" s="18">
        <f>IF(SUM(B25:O25)=0,"",SUM(B25:O25))</f>
        <v>14</v>
      </c>
    </row>
  </sheetData>
  <sheetProtection sheet="1" objects="1" scenarios="1"/>
  <mergeCells count="104">
    <mergeCell ref="N19:P19"/>
    <mergeCell ref="A23:A24"/>
    <mergeCell ref="N17:O17"/>
    <mergeCell ref="B18:D18"/>
    <mergeCell ref="E18:G18"/>
    <mergeCell ref="H18:J18"/>
    <mergeCell ref="K18:M18"/>
    <mergeCell ref="N18:P18"/>
    <mergeCell ref="A17:A18"/>
    <mergeCell ref="B17:C17"/>
    <mergeCell ref="E17:F17"/>
    <mergeCell ref="H17:I17"/>
    <mergeCell ref="K17:L17"/>
    <mergeCell ref="B19:D19"/>
    <mergeCell ref="E19:G19"/>
    <mergeCell ref="H19:J19"/>
    <mergeCell ref="K19:M19"/>
    <mergeCell ref="A15:A16"/>
    <mergeCell ref="B15:C15"/>
    <mergeCell ref="E15:F15"/>
    <mergeCell ref="H15:I15"/>
    <mergeCell ref="K15:L15"/>
    <mergeCell ref="N15:O15"/>
    <mergeCell ref="B16:D16"/>
    <mergeCell ref="E16:G16"/>
    <mergeCell ref="H16:J16"/>
    <mergeCell ref="K16:M16"/>
    <mergeCell ref="N16:P16"/>
    <mergeCell ref="A13:A14"/>
    <mergeCell ref="B13:C13"/>
    <mergeCell ref="E13:F13"/>
    <mergeCell ref="H13:I13"/>
    <mergeCell ref="K13:L13"/>
    <mergeCell ref="N13:O13"/>
    <mergeCell ref="B14:D14"/>
    <mergeCell ref="E14:G14"/>
    <mergeCell ref="H14:J14"/>
    <mergeCell ref="K14:M14"/>
    <mergeCell ref="N14:P14"/>
    <mergeCell ref="A11:A12"/>
    <mergeCell ref="B11:C11"/>
    <mergeCell ref="E11:F11"/>
    <mergeCell ref="H11:I11"/>
    <mergeCell ref="K11:L11"/>
    <mergeCell ref="N11:O11"/>
    <mergeCell ref="B12:D12"/>
    <mergeCell ref="E12:G12"/>
    <mergeCell ref="H12:J12"/>
    <mergeCell ref="K12:M12"/>
    <mergeCell ref="N12:P12"/>
    <mergeCell ref="N8:P8"/>
    <mergeCell ref="A9:A10"/>
    <mergeCell ref="B9:C9"/>
    <mergeCell ref="E9:F9"/>
    <mergeCell ref="H9:I9"/>
    <mergeCell ref="K9:L9"/>
    <mergeCell ref="N9:O9"/>
    <mergeCell ref="B10:D10"/>
    <mergeCell ref="E10:G10"/>
    <mergeCell ref="H10:J10"/>
    <mergeCell ref="A7:A8"/>
    <mergeCell ref="B7:C7"/>
    <mergeCell ref="E7:F7"/>
    <mergeCell ref="H7:I7"/>
    <mergeCell ref="K7:L7"/>
    <mergeCell ref="N7:O7"/>
    <mergeCell ref="B8:D8"/>
    <mergeCell ref="E8:G8"/>
    <mergeCell ref="H8:J8"/>
    <mergeCell ref="K8:M8"/>
    <mergeCell ref="K10:M10"/>
    <mergeCell ref="N10:P10"/>
    <mergeCell ref="A5:A6"/>
    <mergeCell ref="B5:C5"/>
    <mergeCell ref="E5:F5"/>
    <mergeCell ref="H5:I5"/>
    <mergeCell ref="K5:L5"/>
    <mergeCell ref="N2:P2"/>
    <mergeCell ref="B3:D3"/>
    <mergeCell ref="E3:G3"/>
    <mergeCell ref="H3:J3"/>
    <mergeCell ref="K3:M3"/>
    <mergeCell ref="N3:P3"/>
    <mergeCell ref="N5:O5"/>
    <mergeCell ref="B6:D6"/>
    <mergeCell ref="E6:G6"/>
    <mergeCell ref="H6:J6"/>
    <mergeCell ref="K6:M6"/>
    <mergeCell ref="N6:P6"/>
    <mergeCell ref="B4:D4"/>
    <mergeCell ref="E4:G4"/>
    <mergeCell ref="H4:J4"/>
    <mergeCell ref="K4:M4"/>
    <mergeCell ref="N4:P4"/>
    <mergeCell ref="A1:G1"/>
    <mergeCell ref="I1:J1"/>
    <mergeCell ref="K1:L1"/>
    <mergeCell ref="M1:N1"/>
    <mergeCell ref="O1:P1"/>
    <mergeCell ref="A2:A3"/>
    <mergeCell ref="B2:D2"/>
    <mergeCell ref="E2:G2"/>
    <mergeCell ref="H2:J2"/>
    <mergeCell ref="K2:M2"/>
  </mergeCells>
  <phoneticPr fontId="5"/>
  <dataValidations count="1">
    <dataValidation type="list" allowBlank="1" showInputMessage="1" sqref="D5 P17 M17 J17 G17 D17 P15 M15 J15 G15 D15 P13 M13 J13 G13 D13 P11 M11 J11 G11 D11 P9 M9 J9 G9 D9 P7 M7 J7 G7 D7 P5 M5 J5 G5" xr:uid="{E1BF093E-5ACA-4BF1-BAFA-FF74D093896D}">
      <formula1>"×,月1,月2,月3,月4,月5,月6,月7,火1,火2,火3,火4,火5,火6,火7,水1,水2,水3,水4,水5,水6,水7,木1,木2,木3,木4,木5,木6,木7,金1,金2,金3,金4,金5,金6,金7"</formula1>
    </dataValidation>
  </dataValidations>
  <printOptions horizontalCentered="1"/>
  <pageMargins left="0.78740157480314965" right="0.78740157480314965" top="0.78740157480314965" bottom="0.78740157480314965" header="0" footer="0"/>
  <pageSetup paperSize="9" scale="93"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tn_0">
              <controlPr defaultSize="0" print="0" autoFill="0" autoPict="0" macro="[0]!ボタン_新しい週">
                <anchor moveWithCells="1" sizeWithCells="1">
                  <from>
                    <xdr:col>17</xdr:col>
                    <xdr:colOff>69850</xdr:colOff>
                    <xdr:row>3</xdr:row>
                    <xdr:rowOff>50800</xdr:rowOff>
                  </from>
                  <to>
                    <xdr:col>18</xdr:col>
                    <xdr:colOff>603250</xdr:colOff>
                    <xdr:row>3</xdr:row>
                    <xdr:rowOff>355600</xdr:rowOff>
                  </to>
                </anchor>
              </controlPr>
            </control>
          </mc:Choice>
        </mc:AlternateContent>
        <mc:AlternateContent xmlns:mc="http://schemas.openxmlformats.org/markup-compatibility/2006">
          <mc:Choice Requires="x14">
            <control shapeId="3074" r:id="rId5" name="Btn_1">
              <controlPr defaultSize="0" print="0" autoFill="0" autoPict="0" macro="[0]!ボタン_時間割展開">
                <anchor moveWithCells="1" sizeWithCells="1">
                  <from>
                    <xdr:col>17</xdr:col>
                    <xdr:colOff>69850</xdr:colOff>
                    <xdr:row>3</xdr:row>
                    <xdr:rowOff>450850</xdr:rowOff>
                  </from>
                  <to>
                    <xdr:col>18</xdr:col>
                    <xdr:colOff>603250</xdr:colOff>
                    <xdr:row>4</xdr:row>
                    <xdr:rowOff>57150</xdr:rowOff>
                  </to>
                </anchor>
              </controlPr>
            </control>
          </mc:Choice>
        </mc:AlternateContent>
        <mc:AlternateContent xmlns:mc="http://schemas.openxmlformats.org/markup-compatibility/2006">
          <mc:Choice Requires="x14">
            <control shapeId="3075" r:id="rId6" name="Btn_2">
              <controlPr defaultSize="0" print="0" autoFill="0" autoPict="0" macro="[0]!ボタン_累計更新">
                <anchor moveWithCells="1" sizeWithCells="1">
                  <from>
                    <xdr:col>17</xdr:col>
                    <xdr:colOff>69850</xdr:colOff>
                    <xdr:row>4</xdr:row>
                    <xdr:rowOff>165100</xdr:rowOff>
                  </from>
                  <to>
                    <xdr:col>18</xdr:col>
                    <xdr:colOff>603250</xdr:colOff>
                    <xdr:row>5</xdr:row>
                    <xdr:rowOff>241300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xr:uid="{83911A48-F8DE-4618-871B-659CEADD33D5}">
          <x14:formula1>
            <xm:f>基本設定!$B$6:$B$20</xm:f>
          </x14:formula1>
          <xm:sqref>N19 K19 H19 E19 B19 N17 K17 H17 E17 B17 N15 K15 H15 E15 B15 N13 K13 H13 E13 B13 N11 K11 H11 E11 B11 N9 K9 H9 E9 B9 N7 K7 H7 E7 B7 N5 K5 H5 E5 B5</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D92F7B-1584-4370-8BC3-8D09C0D22F55}">
  <sheetPr>
    <tabColor rgb="FFC0392B"/>
    <pageSetUpPr fitToPage="1"/>
  </sheetPr>
  <dimension ref="A1:P25"/>
  <sheetViews>
    <sheetView topLeftCell="A3" zoomScale="90" zoomScaleNormal="90" workbookViewId="0">
      <selection activeCell="O25" sqref="O25"/>
    </sheetView>
  </sheetViews>
  <sheetFormatPr defaultColWidth="8.7265625" defaultRowHeight="13" x14ac:dyDescent="0.2"/>
  <cols>
    <col min="1" max="1" width="5.453125" customWidth="1"/>
    <col min="2" max="16" width="5.7265625" customWidth="1"/>
  </cols>
  <sheetData>
    <row r="1" spans="1:16" ht="50.15" customHeight="1" x14ac:dyDescent="0.2">
      <c r="A1" s="49" t="s">
        <v>88</v>
      </c>
      <c r="B1" s="50"/>
      <c r="C1" s="50"/>
      <c r="D1" s="50"/>
      <c r="E1" s="50"/>
      <c r="F1" s="50"/>
      <c r="G1" s="50"/>
      <c r="H1" s="8" t="s">
        <v>46</v>
      </c>
      <c r="I1" s="51" t="s">
        <v>47</v>
      </c>
      <c r="J1" s="52"/>
      <c r="K1" s="51" t="s">
        <v>48</v>
      </c>
      <c r="L1" s="52"/>
      <c r="M1" s="51" t="s">
        <v>49</v>
      </c>
      <c r="N1" s="52"/>
      <c r="O1" s="51" t="s">
        <v>50</v>
      </c>
      <c r="P1" s="52"/>
    </row>
    <row r="2" spans="1:16" ht="15.65" customHeight="1" x14ac:dyDescent="0.2">
      <c r="A2" s="53" t="s">
        <v>51</v>
      </c>
      <c r="B2" s="55" t="s">
        <v>40</v>
      </c>
      <c r="C2" s="55"/>
      <c r="D2" s="55"/>
      <c r="E2" s="56" t="s">
        <v>41</v>
      </c>
      <c r="F2" s="56"/>
      <c r="G2" s="56"/>
      <c r="H2" s="57" t="s">
        <v>42</v>
      </c>
      <c r="I2" s="57"/>
      <c r="J2" s="57"/>
      <c r="K2" s="58" t="s">
        <v>43</v>
      </c>
      <c r="L2" s="58"/>
      <c r="M2" s="58"/>
      <c r="N2" s="38" t="s">
        <v>44</v>
      </c>
      <c r="O2" s="38"/>
      <c r="P2" s="38"/>
    </row>
    <row r="3" spans="1:16" ht="15" customHeight="1" x14ac:dyDescent="0.2">
      <c r="A3" s="54"/>
      <c r="B3" s="39" t="s">
        <v>89</v>
      </c>
      <c r="C3" s="39"/>
      <c r="D3" s="39"/>
      <c r="E3" s="40" t="s">
        <v>90</v>
      </c>
      <c r="F3" s="40"/>
      <c r="G3" s="40"/>
      <c r="H3" s="41" t="s">
        <v>91</v>
      </c>
      <c r="I3" s="41"/>
      <c r="J3" s="41"/>
      <c r="K3" s="42" t="s">
        <v>92</v>
      </c>
      <c r="L3" s="42"/>
      <c r="M3" s="42"/>
      <c r="N3" s="43" t="s">
        <v>93</v>
      </c>
      <c r="O3" s="43"/>
      <c r="P3" s="43"/>
    </row>
    <row r="4" spans="1:16" ht="55" customHeight="1" x14ac:dyDescent="0.2">
      <c r="A4" s="9" t="s">
        <v>57</v>
      </c>
      <c r="B4" s="44"/>
      <c r="C4" s="44"/>
      <c r="D4" s="44"/>
      <c r="E4" s="45"/>
      <c r="F4" s="45"/>
      <c r="G4" s="45"/>
      <c r="H4" s="46"/>
      <c r="I4" s="46"/>
      <c r="J4" s="46"/>
      <c r="K4" s="47"/>
      <c r="L4" s="47"/>
      <c r="M4" s="47"/>
      <c r="N4" s="48"/>
      <c r="O4" s="48"/>
      <c r="P4" s="48"/>
    </row>
    <row r="5" spans="1:16" ht="18" customHeight="1" x14ac:dyDescent="0.2">
      <c r="A5" s="37">
        <v>1</v>
      </c>
      <c r="B5" s="35" t="s">
        <v>20</v>
      </c>
      <c r="C5" s="35"/>
      <c r="D5" s="25"/>
      <c r="E5" s="35" t="s">
        <v>71</v>
      </c>
      <c r="F5" s="35"/>
      <c r="G5" s="25"/>
      <c r="H5" s="35" t="s">
        <v>104</v>
      </c>
      <c r="I5" s="35"/>
      <c r="J5" s="25"/>
      <c r="K5" s="35" t="s">
        <v>99</v>
      </c>
      <c r="L5" s="35"/>
      <c r="M5" s="25"/>
      <c r="N5" s="35" t="s">
        <v>104</v>
      </c>
      <c r="O5" s="35"/>
      <c r="P5" s="25"/>
    </row>
    <row r="6" spans="1:16" ht="62.15" customHeight="1" x14ac:dyDescent="0.2">
      <c r="A6" s="37"/>
      <c r="B6" s="36" t="s">
        <v>94</v>
      </c>
      <c r="C6" s="36"/>
      <c r="D6" s="36"/>
      <c r="E6" s="36"/>
      <c r="F6" s="36"/>
      <c r="G6" s="36"/>
      <c r="H6" s="36" t="s">
        <v>101</v>
      </c>
      <c r="I6" s="36"/>
      <c r="J6" s="36"/>
      <c r="K6" s="36" t="s">
        <v>111</v>
      </c>
      <c r="L6" s="36"/>
      <c r="M6" s="36"/>
      <c r="N6" s="36" t="s">
        <v>110</v>
      </c>
      <c r="O6" s="36"/>
      <c r="P6" s="36"/>
    </row>
    <row r="7" spans="1:16" ht="18" customHeight="1" x14ac:dyDescent="0.2">
      <c r="A7" s="37">
        <v>2</v>
      </c>
      <c r="B7" s="35" t="s">
        <v>23</v>
      </c>
      <c r="C7" s="35"/>
      <c r="D7" s="25"/>
      <c r="E7" s="35" t="s">
        <v>99</v>
      </c>
      <c r="F7" s="35"/>
      <c r="G7" s="25"/>
      <c r="H7" s="35" t="s">
        <v>71</v>
      </c>
      <c r="I7" s="35"/>
      <c r="J7" s="25"/>
      <c r="K7" s="35" t="s">
        <v>71</v>
      </c>
      <c r="L7" s="35"/>
      <c r="M7" s="25"/>
      <c r="N7" s="35" t="s">
        <v>100</v>
      </c>
      <c r="O7" s="35"/>
      <c r="P7" s="25"/>
    </row>
    <row r="8" spans="1:16" ht="62.15" customHeight="1" x14ac:dyDescent="0.2">
      <c r="A8" s="37"/>
      <c r="B8" s="36" t="s">
        <v>95</v>
      </c>
      <c r="C8" s="36"/>
      <c r="D8" s="36"/>
      <c r="E8" s="36" t="s">
        <v>101</v>
      </c>
      <c r="F8" s="36"/>
      <c r="G8" s="36"/>
      <c r="H8" s="36"/>
      <c r="I8" s="36"/>
      <c r="J8" s="36"/>
      <c r="K8" s="36"/>
      <c r="L8" s="36"/>
      <c r="M8" s="36"/>
      <c r="N8" s="36" t="s">
        <v>110</v>
      </c>
      <c r="O8" s="36"/>
      <c r="P8" s="36"/>
    </row>
    <row r="9" spans="1:16" ht="18" customHeight="1" x14ac:dyDescent="0.2">
      <c r="A9" s="37">
        <v>3</v>
      </c>
      <c r="B9" s="35" t="s">
        <v>20</v>
      </c>
      <c r="C9" s="35"/>
      <c r="D9" s="25"/>
      <c r="E9" s="35" t="s">
        <v>71</v>
      </c>
      <c r="F9" s="35"/>
      <c r="G9" s="25"/>
      <c r="H9" s="35" t="s">
        <v>71</v>
      </c>
      <c r="I9" s="35"/>
      <c r="J9" s="25"/>
      <c r="K9" s="35" t="s">
        <v>35</v>
      </c>
      <c r="L9" s="35"/>
      <c r="M9" s="25"/>
      <c r="N9" s="35" t="s">
        <v>105</v>
      </c>
      <c r="O9" s="35"/>
      <c r="P9" s="25"/>
    </row>
    <row r="10" spans="1:16" ht="62.15" customHeight="1" x14ac:dyDescent="0.2">
      <c r="A10" s="37"/>
      <c r="B10" s="36" t="s">
        <v>96</v>
      </c>
      <c r="C10" s="36"/>
      <c r="D10" s="36"/>
      <c r="E10" s="36"/>
      <c r="F10" s="36"/>
      <c r="G10" s="36"/>
      <c r="H10" s="36"/>
      <c r="I10" s="36"/>
      <c r="J10" s="36"/>
      <c r="K10" s="36"/>
      <c r="L10" s="36"/>
      <c r="M10" s="36"/>
      <c r="N10" s="36"/>
      <c r="O10" s="36"/>
      <c r="P10" s="36"/>
    </row>
    <row r="11" spans="1:16" ht="18" customHeight="1" x14ac:dyDescent="0.2">
      <c r="A11" s="37">
        <v>4</v>
      </c>
      <c r="B11" s="35" t="s">
        <v>20</v>
      </c>
      <c r="C11" s="35"/>
      <c r="D11" s="25"/>
      <c r="E11" s="35" t="s">
        <v>100</v>
      </c>
      <c r="F11" s="35"/>
      <c r="G11" s="25"/>
      <c r="H11" s="35" t="s">
        <v>99</v>
      </c>
      <c r="I11" s="35"/>
      <c r="J11" s="25"/>
      <c r="K11" s="35" t="s">
        <v>104</v>
      </c>
      <c r="L11" s="35"/>
      <c r="M11" s="25"/>
      <c r="N11" s="35" t="s">
        <v>71</v>
      </c>
      <c r="O11" s="35"/>
      <c r="P11" s="25"/>
    </row>
    <row r="12" spans="1:16" ht="62.15" customHeight="1" x14ac:dyDescent="0.2">
      <c r="A12" s="37"/>
      <c r="B12" s="36" t="s">
        <v>97</v>
      </c>
      <c r="C12" s="36"/>
      <c r="D12" s="36"/>
      <c r="E12" s="36" t="s">
        <v>101</v>
      </c>
      <c r="F12" s="36"/>
      <c r="G12" s="36"/>
      <c r="H12" s="36" t="s">
        <v>108</v>
      </c>
      <c r="I12" s="36"/>
      <c r="J12" s="36"/>
      <c r="K12" s="36" t="s">
        <v>109</v>
      </c>
      <c r="L12" s="36"/>
      <c r="M12" s="36"/>
      <c r="N12" s="36"/>
      <c r="O12" s="36"/>
      <c r="P12" s="36"/>
    </row>
    <row r="13" spans="1:16" ht="18" customHeight="1" x14ac:dyDescent="0.2">
      <c r="A13" s="37">
        <v>5</v>
      </c>
      <c r="B13" s="35" t="s">
        <v>23</v>
      </c>
      <c r="C13" s="35"/>
      <c r="D13" s="25"/>
      <c r="E13" s="35" t="s">
        <v>27</v>
      </c>
      <c r="F13" s="35"/>
      <c r="G13" s="25"/>
      <c r="H13" s="35" t="s">
        <v>71</v>
      </c>
      <c r="I13" s="35"/>
      <c r="J13" s="25"/>
      <c r="K13" s="35" t="s">
        <v>27</v>
      </c>
      <c r="L13" s="35"/>
      <c r="M13" s="25"/>
      <c r="N13" s="35" t="s">
        <v>71</v>
      </c>
      <c r="O13" s="35"/>
      <c r="P13" s="25"/>
    </row>
    <row r="14" spans="1:16" ht="62.15" customHeight="1" x14ac:dyDescent="0.2">
      <c r="A14" s="37"/>
      <c r="B14" s="36" t="s">
        <v>98</v>
      </c>
      <c r="C14" s="36"/>
      <c r="D14" s="36"/>
      <c r="E14" s="36" t="s">
        <v>102</v>
      </c>
      <c r="F14" s="36"/>
      <c r="G14" s="36"/>
      <c r="H14" s="36"/>
      <c r="I14" s="36"/>
      <c r="J14" s="36"/>
      <c r="K14" s="36" t="s">
        <v>113</v>
      </c>
      <c r="L14" s="36"/>
      <c r="M14" s="36"/>
      <c r="N14" s="36"/>
      <c r="O14" s="36"/>
      <c r="P14" s="36"/>
    </row>
    <row r="15" spans="1:16" ht="18" customHeight="1" x14ac:dyDescent="0.2">
      <c r="A15" s="37">
        <v>6</v>
      </c>
      <c r="B15" s="35" t="s">
        <v>71</v>
      </c>
      <c r="C15" s="35"/>
      <c r="D15" s="25"/>
      <c r="E15" s="35" t="s">
        <v>27</v>
      </c>
      <c r="F15" s="35"/>
      <c r="G15" s="25"/>
      <c r="H15" s="35" t="s">
        <v>100</v>
      </c>
      <c r="I15" s="35"/>
      <c r="J15" s="25"/>
      <c r="K15" s="35" t="s">
        <v>71</v>
      </c>
      <c r="L15" s="35"/>
      <c r="M15" s="25"/>
      <c r="N15" s="35" t="s">
        <v>99</v>
      </c>
      <c r="O15" s="35"/>
      <c r="P15" s="25"/>
    </row>
    <row r="16" spans="1:16" ht="62.15" customHeight="1" x14ac:dyDescent="0.2">
      <c r="A16" s="37"/>
      <c r="B16" s="36"/>
      <c r="C16" s="36"/>
      <c r="D16" s="36"/>
      <c r="E16" s="36" t="s">
        <v>103</v>
      </c>
      <c r="F16" s="36"/>
      <c r="G16" s="36"/>
      <c r="H16" s="36" t="s">
        <v>109</v>
      </c>
      <c r="I16" s="36"/>
      <c r="J16" s="36"/>
      <c r="K16" s="36"/>
      <c r="L16" s="36"/>
      <c r="M16" s="36"/>
      <c r="N16" s="36" t="s">
        <v>112</v>
      </c>
      <c r="O16" s="36"/>
      <c r="P16" s="36"/>
    </row>
    <row r="17" spans="1:16" ht="18" customHeight="1" x14ac:dyDescent="0.2">
      <c r="A17" s="37">
        <v>7</v>
      </c>
      <c r="B17" s="35" t="s">
        <v>71</v>
      </c>
      <c r="C17" s="35"/>
      <c r="D17" s="25"/>
      <c r="E17" s="35" t="s">
        <v>71</v>
      </c>
      <c r="F17" s="35"/>
      <c r="G17" s="25"/>
      <c r="H17" s="35" t="s">
        <v>71</v>
      </c>
      <c r="I17" s="35"/>
      <c r="J17" s="25"/>
      <c r="K17" s="35" t="s">
        <v>71</v>
      </c>
      <c r="L17" s="35"/>
      <c r="M17" s="25"/>
      <c r="N17" s="35" t="s">
        <v>71</v>
      </c>
      <c r="O17" s="35"/>
      <c r="P17" s="25"/>
    </row>
    <row r="18" spans="1:16" ht="62.15" customHeight="1" x14ac:dyDescent="0.2">
      <c r="A18" s="37"/>
      <c r="B18" s="36"/>
      <c r="C18" s="36"/>
      <c r="D18" s="36"/>
      <c r="E18" s="36"/>
      <c r="F18" s="36"/>
      <c r="G18" s="36"/>
      <c r="H18" s="36"/>
      <c r="I18" s="36"/>
      <c r="J18" s="36"/>
      <c r="K18" s="36"/>
      <c r="L18" s="36"/>
      <c r="M18" s="36"/>
      <c r="N18" s="36"/>
      <c r="O18" s="36"/>
      <c r="P18" s="36"/>
    </row>
    <row r="19" spans="1:16" ht="55" customHeight="1" x14ac:dyDescent="0.2">
      <c r="A19" s="10" t="s">
        <v>58</v>
      </c>
      <c r="B19" s="32"/>
      <c r="C19" s="32"/>
      <c r="D19" s="32"/>
      <c r="E19" s="32" t="s">
        <v>107</v>
      </c>
      <c r="F19" s="32"/>
      <c r="G19" s="32"/>
      <c r="H19" s="32"/>
      <c r="I19" s="32"/>
      <c r="J19" s="32"/>
      <c r="K19" s="32"/>
      <c r="L19" s="32"/>
      <c r="M19" s="32"/>
      <c r="N19" s="32" t="s">
        <v>106</v>
      </c>
      <c r="O19" s="32"/>
      <c r="P19" s="32"/>
    </row>
    <row r="20" spans="1:16" hidden="1" x14ac:dyDescent="0.2">
      <c r="A20" s="11"/>
      <c r="B20" s="11"/>
      <c r="C20" s="11"/>
      <c r="D20" s="11"/>
      <c r="E20" s="11"/>
      <c r="F20" s="11"/>
      <c r="G20" s="11"/>
      <c r="H20" s="11"/>
      <c r="I20" s="11"/>
      <c r="J20" s="11"/>
      <c r="K20" s="11"/>
      <c r="L20" s="11"/>
      <c r="M20" s="11"/>
      <c r="N20" s="11"/>
      <c r="O20" s="11"/>
      <c r="P20" s="11"/>
    </row>
    <row r="21" spans="1:16" ht="13.5" customHeight="1" x14ac:dyDescent="0.2">
      <c r="A21" s="12" t="s">
        <v>59</v>
      </c>
      <c r="B21" s="12" t="str">
        <f>IF(基本設定!B6="","",基本設定!B6)</f>
        <v>2-1</v>
      </c>
      <c r="C21" s="12" t="str">
        <f>IF(基本設定!B7="","",基本設定!B7)</f>
        <v>2-4</v>
      </c>
      <c r="D21" s="12" t="str">
        <f>IF(基本設定!B8="","",基本設定!B8)</f>
        <v>3-5</v>
      </c>
      <c r="E21" s="12" t="str">
        <f>IF(基本設定!B9="","",基本設定!B9)</f>
        <v>2-2数t</v>
      </c>
      <c r="F21" s="12" t="str">
        <f>IF(基本設定!B10="","",基本設定!B10)</f>
        <v>2-3数t</v>
      </c>
      <c r="G21" s="12" t="str">
        <f>IF(基本設定!B11="","",基本設定!B11)</f>
        <v>2-5数t</v>
      </c>
      <c r="H21" s="12"/>
      <c r="I21" s="12"/>
      <c r="J21" s="12"/>
      <c r="K21" s="12"/>
      <c r="L21" s="12"/>
      <c r="M21" s="13" t="s">
        <v>64</v>
      </c>
      <c r="N21" s="12" t="s">
        <v>25</v>
      </c>
      <c r="O21" s="12" t="s">
        <v>27</v>
      </c>
      <c r="P21" s="14" t="s">
        <v>60</v>
      </c>
    </row>
    <row r="22" spans="1:16" ht="13.5" customHeight="1" x14ac:dyDescent="0.2">
      <c r="A22" s="15" t="s">
        <v>61</v>
      </c>
      <c r="B22" s="16">
        <f>IF(B21="","",IFERROR(VALUE(VLOOKUP(B21,基本設定!$A$23:$B$35,2,FALSE())),""))</f>
        <v>4</v>
      </c>
      <c r="C22" s="16">
        <f>IF(C21="","",IFERROR(VALUE(VLOOKUP(C21,基本設定!$A$23:$B$35,2,FALSE())),""))</f>
        <v>4</v>
      </c>
      <c r="D22" s="16">
        <f>IF(D21="","",IFERROR(VALUE(VLOOKUP(D21,基本設定!$A$23:$B$35,2,FALSE())),""))</f>
        <v>4</v>
      </c>
      <c r="E22" s="16">
        <f>IF(E21="","",IFERROR(VALUE(VLOOKUP(E21,基本設定!$A$23:$B$35,2,FALSE())),""))</f>
        <v>1</v>
      </c>
      <c r="F22" s="16">
        <f>IF(F21="","",IFERROR(VALUE(VLOOKUP(F21,基本設定!$A$23:$B$35,2,FALSE())),""))</f>
        <v>1</v>
      </c>
      <c r="G22" s="16">
        <f>IF(G21="","",IFERROR(VALUE(VLOOKUP(G21,基本設定!$A$23:$B$35,2,FALSE())),""))</f>
        <v>1</v>
      </c>
      <c r="H22" s="17"/>
      <c r="I22" s="17"/>
      <c r="J22" s="17"/>
      <c r="K22" s="17"/>
      <c r="L22" s="17"/>
      <c r="M22" s="17">
        <v>1</v>
      </c>
      <c r="N22" s="17">
        <f>IF(N21="","",IFERROR(VALUE(VLOOKUP(N21,基本設定!$A$23:$B$35,2,FALSE())),""))</f>
        <v>1</v>
      </c>
      <c r="O22" s="17">
        <f>IF(O21="","",IFERROR(VALUE(VLOOKUP(O21,基本設定!$A$23:$B$35,2,FALSE())),""))</f>
        <v>2</v>
      </c>
      <c r="P22" s="18">
        <f>IF(SUM(B22:O22)=0,"",SUM(B22:O22))</f>
        <v>19</v>
      </c>
    </row>
    <row r="23" spans="1:16" ht="13.5" customHeight="1" x14ac:dyDescent="0.2">
      <c r="A23" s="33" t="s">
        <v>62</v>
      </c>
      <c r="B23" s="19">
        <f>IF(B21="","",IF(B24="","",B24-(SUMPRODUCT((B5:C5=B21)*(D5="×"))+SUMPRODUCT((E5:F5=B21)*(G5="×"))+SUMPRODUCT((H5:I5=B21)*(J5="×"))+SUMPRODUCT((K5:L5=B21)*(M5="×"))+SUMPRODUCT((N5:O5=B21)*(P5="×"))+SUMPRODUCT((B7:C7=B21)*(D7="×"))+SUMPRODUCT((E7:F7=B21)*(G7="×"))+SUMPRODUCT((H7:I7=B21)*(J7="×"))+SUMPRODUCT((K7:L7=B21)*(M7="×"))+SUMPRODUCT((N7:O7=B21)*(P7="×"))+SUMPRODUCT((B9:C9=B21)*(D9="×"))+SUMPRODUCT((E9:F9=B21)*(G9="×"))+SUMPRODUCT((H9:I9=B21)*(J9="×"))+SUMPRODUCT((K9:L9=B21)*(M9="×"))+SUMPRODUCT((N9:O9=B21)*(P9="×"))+SUMPRODUCT((B11:C11=B21)*(D11="×"))+SUMPRODUCT((E11:F11=B21)*(G11="×"))+SUMPRODUCT((H11:I11=B21)*(J11="×"))+SUMPRODUCT((K11:L11=B21)*(M11="×"))+SUMPRODUCT((N11:O11=B21)*(P11="×"))+SUMPRODUCT((B13:C13=B21)*(D13="×"))+SUMPRODUCT((E13:F13=B21)*(G13="×"))+SUMPRODUCT((H13:I13=B21)*(J13="×"))+SUMPRODUCT((K13:L13=B21)*(M13="×"))+SUMPRODUCT((N13:O13=B21)*(P13="×"))+SUMPRODUCT((B15:C15=B21)*(D15="×"))+SUMPRODUCT((E15:F15=B21)*(G15="×"))+SUMPRODUCT((H15:I15=B21)*(J15="×"))+SUMPRODUCT((K15:L15=B21)*(M15="×"))+SUMPRODUCT((N15:O15=B21)*(P15="×"))+SUMPRODUCT((B17:C17=B21)*(D17="×"))+SUMPRODUCT((E17:F17=B21)*(G17="×"))+SUMPRODUCT((H17:I17=B21)*(J17="×"))+SUMPRODUCT((K17:L17=B21)*(M17="×"))+SUMPRODUCT((N17:O17=B21)*(P17="×")))))</f>
        <v>3</v>
      </c>
      <c r="C23" s="19">
        <f>IF(C21="","",IF(C24="","",C24-(SUMPRODUCT((B5:C5=C21)*(D5="×"))+SUMPRODUCT((E5:F5=C21)*(G5="×"))+SUMPRODUCT((H5:I5=C21)*(J5="×"))+SUMPRODUCT((K5:L5=C21)*(M5="×"))+SUMPRODUCT((N5:O5=C21)*(P5="×"))+SUMPRODUCT((B7:C7=C21)*(D7="×"))+SUMPRODUCT((E7:F7=C21)*(G7="×"))+SUMPRODUCT((H7:I7=C21)*(J7="×"))+SUMPRODUCT((K7:L7=C21)*(M7="×"))+SUMPRODUCT((N7:O7=C21)*(P7="×"))+SUMPRODUCT((B9:C9=C21)*(D9="×"))+SUMPRODUCT((E9:F9=C21)*(G9="×"))+SUMPRODUCT((H9:I9=C21)*(J9="×"))+SUMPRODUCT((K9:L9=C21)*(M9="×"))+SUMPRODUCT((N9:O9=C21)*(P9="×"))+SUMPRODUCT((B11:C11=C21)*(D11="×"))+SUMPRODUCT((E11:F11=C21)*(G11="×"))+SUMPRODUCT((H11:I11=C21)*(J11="×"))+SUMPRODUCT((K11:L11=C21)*(M11="×"))+SUMPRODUCT((N11:O11=C21)*(P11="×"))+SUMPRODUCT((B13:C13=C21)*(D13="×"))+SUMPRODUCT((E13:F13=C21)*(G13="×"))+SUMPRODUCT((H13:I13=C21)*(J13="×"))+SUMPRODUCT((K13:L13=C21)*(M13="×"))+SUMPRODUCT((N13:O13=C21)*(P13="×"))+SUMPRODUCT((B15:C15=C21)*(D15="×"))+SUMPRODUCT((E15:F15=C21)*(G15="×"))+SUMPRODUCT((H15:I15=C21)*(J15="×"))+SUMPRODUCT((K15:L15=C21)*(M15="×"))+SUMPRODUCT((N15:O15=C21)*(P15="×"))+SUMPRODUCT((B17:C17=C21)*(D17="×"))+SUMPRODUCT((E17:F17=C21)*(G17="×"))+SUMPRODUCT((H17:I17=C21)*(J17="×"))+SUMPRODUCT((K17:L17=C21)*(M17="×"))+SUMPRODUCT((N17:O17=C21)*(P17="×")))))</f>
        <v>3</v>
      </c>
      <c r="D23" s="19">
        <f>IF(D21="","",IF(D24="","",D24-(SUMPRODUCT((B5:C5=D21)*(D5="×"))+SUMPRODUCT((E5:F5=D21)*(G5="×"))+SUMPRODUCT((H5:I5=D21)*(J5="×"))+SUMPRODUCT((K5:L5=D21)*(M5="×"))+SUMPRODUCT((N5:O5=D21)*(P5="×"))+SUMPRODUCT((B7:C7=D21)*(D7="×"))+SUMPRODUCT((E7:F7=D21)*(G7="×"))+SUMPRODUCT((H7:I7=D21)*(J7="×"))+SUMPRODUCT((K7:L7=D21)*(M7="×"))+SUMPRODUCT((N7:O7=D21)*(P7="×"))+SUMPRODUCT((B9:C9=D21)*(D9="×"))+SUMPRODUCT((E9:F9=D21)*(G9="×"))+SUMPRODUCT((H9:I9=D21)*(J9="×"))+SUMPRODUCT((K9:L9=D21)*(M9="×"))+SUMPRODUCT((N9:O9=D21)*(P9="×"))+SUMPRODUCT((B11:C11=D21)*(D11="×"))+SUMPRODUCT((E11:F11=D21)*(G11="×"))+SUMPRODUCT((H11:I11=D21)*(J11="×"))+SUMPRODUCT((K11:L11=D21)*(M11="×"))+SUMPRODUCT((N11:O11=D21)*(P11="×"))+SUMPRODUCT((B13:C13=D21)*(D13="×"))+SUMPRODUCT((E13:F13=D21)*(G13="×"))+SUMPRODUCT((H13:I13=D21)*(J13="×"))+SUMPRODUCT((K13:L13=D21)*(M13="×"))+SUMPRODUCT((N13:O13=D21)*(P13="×"))+SUMPRODUCT((B15:C15=D21)*(D15="×"))+SUMPRODUCT((E15:F15=D21)*(G15="×"))+SUMPRODUCT((H15:I15=D21)*(J15="×"))+SUMPRODUCT((K15:L15=D21)*(M15="×"))+SUMPRODUCT((N15:O15=D21)*(P15="×"))+SUMPRODUCT((B17:C17=D21)*(D17="×"))+SUMPRODUCT((E17:F17=D21)*(G17="×"))+SUMPRODUCT((H17:I17=D21)*(J17="×"))+SUMPRODUCT((K17:L17=D21)*(M17="×"))+SUMPRODUCT((N17:O17=D21)*(P17="×")))))</f>
        <v>4</v>
      </c>
      <c r="E23" s="19">
        <f>IF(E21="","",IF(E24="","",E24-(SUMPRODUCT((B5:C5=E21)*(D5="×"))+SUMPRODUCT((E5:F5=E21)*(G5="×"))+SUMPRODUCT((H5:I5=E21)*(J5="×"))+SUMPRODUCT((K5:L5=E21)*(M5="×"))+SUMPRODUCT((N5:O5=E21)*(P5="×"))+SUMPRODUCT((B7:C7=E21)*(D7="×"))+SUMPRODUCT((E7:F7=E21)*(G7="×"))+SUMPRODUCT((H7:I7=E21)*(J7="×"))+SUMPRODUCT((K7:L7=E21)*(M7="×"))+SUMPRODUCT((N7:O7=E21)*(P7="×"))+SUMPRODUCT((B9:C9=E21)*(D9="×"))+SUMPRODUCT((E9:F9=E21)*(G9="×"))+SUMPRODUCT((H9:I9=E21)*(J9="×"))+SUMPRODUCT((K9:L9=E21)*(M9="×"))+SUMPRODUCT((N9:O9=E21)*(P9="×"))+SUMPRODUCT((B11:C11=E21)*(D11="×"))+SUMPRODUCT((E11:F11=E21)*(G11="×"))+SUMPRODUCT((H11:I11=E21)*(J11="×"))+SUMPRODUCT((K11:L11=E21)*(M11="×"))+SUMPRODUCT((N11:O11=E21)*(P11="×"))+SUMPRODUCT((B13:C13=E21)*(D13="×"))+SUMPRODUCT((E13:F13=E21)*(G13="×"))+SUMPRODUCT((H13:I13=E21)*(J13="×"))+SUMPRODUCT((K13:L13=E21)*(M13="×"))+SUMPRODUCT((N13:O13=E21)*(P13="×"))+SUMPRODUCT((B15:C15=E21)*(D15="×"))+SUMPRODUCT((E15:F15=E21)*(G15="×"))+SUMPRODUCT((H15:I15=E21)*(J15="×"))+SUMPRODUCT((K15:L15=E21)*(M15="×"))+SUMPRODUCT((N15:O15=E21)*(P15="×"))+SUMPRODUCT((B17:C17=E21)*(D17="×"))+SUMPRODUCT((E17:F17=E21)*(G17="×"))+SUMPRODUCT((H17:I17=E21)*(J17="×"))+SUMPRODUCT((K17:L17=E21)*(M17="×"))+SUMPRODUCT((N17:O17=E21)*(P17="×")))))</f>
        <v>1</v>
      </c>
      <c r="F23" s="19" t="str">
        <f>IF(F21="","",IF(F24="","",F24-(SUMPRODUCT((B5:C5=F21)*(D5="×"))+SUMPRODUCT((E5:F5=F21)*(G5="×"))+SUMPRODUCT((H5:I5=F21)*(J5="×"))+SUMPRODUCT((K5:L5=F21)*(M5="×"))+SUMPRODUCT((N5:O5=F21)*(P5="×"))+SUMPRODUCT((B7:C7=F21)*(D7="×"))+SUMPRODUCT((E7:F7=F21)*(G7="×"))+SUMPRODUCT((H7:I7=F21)*(J7="×"))+SUMPRODUCT((K7:L7=F21)*(M7="×"))+SUMPRODUCT((N7:O7=F21)*(P7="×"))+SUMPRODUCT((B9:C9=F21)*(D9="×"))+SUMPRODUCT((E9:F9=F21)*(G9="×"))+SUMPRODUCT((H9:I9=F21)*(J9="×"))+SUMPRODUCT((K9:L9=F21)*(M9="×"))+SUMPRODUCT((N9:O9=F21)*(P9="×"))+SUMPRODUCT((B11:C11=F21)*(D11="×"))+SUMPRODUCT((E11:F11=F21)*(G11="×"))+SUMPRODUCT((H11:I11=F21)*(J11="×"))+SUMPRODUCT((K11:L11=F21)*(M11="×"))+SUMPRODUCT((N11:O11=F21)*(P11="×"))+SUMPRODUCT((B13:C13=F21)*(D13="×"))+SUMPRODUCT((E13:F13=F21)*(G13="×"))+SUMPRODUCT((H13:I13=F21)*(J13="×"))+SUMPRODUCT((K13:L13=F21)*(M13="×"))+SUMPRODUCT((N13:O13=F21)*(P13="×"))+SUMPRODUCT((B15:C15=F21)*(D15="×"))+SUMPRODUCT((E15:F15=F21)*(G15="×"))+SUMPRODUCT((H15:I15=F21)*(J15="×"))+SUMPRODUCT((K15:L15=F21)*(M15="×"))+SUMPRODUCT((N15:O15=F21)*(P15="×"))+SUMPRODUCT((B17:C17=F21)*(D17="×"))+SUMPRODUCT((E17:F17=F21)*(G17="×"))+SUMPRODUCT((H17:I17=F21)*(J17="×"))+SUMPRODUCT((K17:L17=F21)*(M17="×"))+SUMPRODUCT((N17:O17=F21)*(P17="×")))))</f>
        <v/>
      </c>
      <c r="G23" s="19">
        <f>IF(G21="","",IF(G24="","",G24-(SUMPRODUCT((B5:C5=G21)*(D5="×"))+SUMPRODUCT((E5:F5=G21)*(G5="×"))+SUMPRODUCT((H5:I5=G21)*(J5="×"))+SUMPRODUCT((K5:L5=G21)*(M5="×"))+SUMPRODUCT((N5:O5=G21)*(P5="×"))+SUMPRODUCT((B7:C7=G21)*(D7="×"))+SUMPRODUCT((E7:F7=G21)*(G7="×"))+SUMPRODUCT((H7:I7=G21)*(J7="×"))+SUMPRODUCT((K7:L7=G21)*(M7="×"))+SUMPRODUCT((N7:O7=G21)*(P7="×"))+SUMPRODUCT((B9:C9=G21)*(D9="×"))+SUMPRODUCT((E9:F9=G21)*(G9="×"))+SUMPRODUCT((H9:I9=G21)*(J9="×"))+SUMPRODUCT((K9:L9=G21)*(M9="×"))+SUMPRODUCT((N9:O9=G21)*(P9="×"))+SUMPRODUCT((B11:C11=G21)*(D11="×"))+SUMPRODUCT((E11:F11=G21)*(G11="×"))+SUMPRODUCT((H11:I11=G21)*(J11="×"))+SUMPRODUCT((K11:L11=G21)*(M11="×"))+SUMPRODUCT((N11:O11=G21)*(P11="×"))+SUMPRODUCT((B13:C13=G21)*(D13="×"))+SUMPRODUCT((E13:F13=G21)*(G13="×"))+SUMPRODUCT((H13:I13=G21)*(J13="×"))+SUMPRODUCT((K13:L13=G21)*(M13="×"))+SUMPRODUCT((N13:O13=G21)*(P13="×"))+SUMPRODUCT((B15:C15=G21)*(D15="×"))+SUMPRODUCT((E15:F15=G21)*(G15="×"))+SUMPRODUCT((H15:I15=G21)*(J15="×"))+SUMPRODUCT((K15:L15=G21)*(M15="×"))+SUMPRODUCT((N15:O15=G21)*(P15="×"))+SUMPRODUCT((B17:C17=G21)*(D17="×"))+SUMPRODUCT((E17:F17=G21)*(G17="×"))+SUMPRODUCT((H17:I17=G21)*(J17="×"))+SUMPRODUCT((K17:L17=G21)*(M17="×"))+SUMPRODUCT((N17:O17=G21)*(P17="×")))))</f>
        <v>1</v>
      </c>
      <c r="H23" s="19"/>
      <c r="I23" s="19"/>
      <c r="J23" s="19"/>
      <c r="K23" s="19"/>
      <c r="L23" s="19"/>
      <c r="M23" s="19">
        <f>IF(M24="","",M24-(SUMPRODUCT((B5:C5="特活")*(D5="×"))+SUMPRODUCT((B5:C5="学活")*(D5="×"))+SUMPRODUCT((E5:F5="特活")*(G5="×"))+SUMPRODUCT((E5:F5="学活")*(G5="×"))+SUMPRODUCT((H5:I5="特活")*(J5="×"))+SUMPRODUCT((H5:I5="学活")*(J5="×"))+SUMPRODUCT((K5:L5="特活")*(M5="×"))+SUMPRODUCT((K5:L5="学活")*(M5="×"))+SUMPRODUCT((N5:O5="特活")*(P5="×"))+SUMPRODUCT((N5:O5="学活")*(P5="×"))+SUMPRODUCT((B7:C7="特活")*(D7="×"))+SUMPRODUCT((B7:C7="学活")*(D7="×"))+SUMPRODUCT((E7:F7="特活")*(G7="×"))+SUMPRODUCT((E7:F7="学活")*(G7="×"))+SUMPRODUCT((H7:I7="特活")*(J7="×"))+SUMPRODUCT((H7:I7="学活")*(J7="×"))+SUMPRODUCT((K7:L7="特活")*(M7="×"))+SUMPRODUCT((K7:L7="学活")*(M7="×"))+SUMPRODUCT((N7:O7="特活")*(P7="×"))+SUMPRODUCT((N7:O7="学活")*(P7="×"))+SUMPRODUCT((B9:C9="特活")*(D9="×"))+SUMPRODUCT((B9:C9="学活")*(D9="×"))+SUMPRODUCT((E9:F9="特活")*(G9="×"))+SUMPRODUCT((E9:F9="学活")*(G9="×"))+SUMPRODUCT((H9:I9="特活")*(J9="×"))+SUMPRODUCT((H9:I9="学活")*(J9="×"))+SUMPRODUCT((K9:L9="特活")*(M9="×"))+SUMPRODUCT((K9:L9="学活")*(M9="×"))+SUMPRODUCT((N9:O9="特活")*(P9="×"))+SUMPRODUCT((N9:O9="学活")*(P9="×"))+SUMPRODUCT((B11:C11="特活")*(D11="×"))+SUMPRODUCT((B11:C11="学活")*(D11="×"))+SUMPRODUCT((E11:F11="特活")*(G11="×"))+SUMPRODUCT((E11:F11="学活")*(G11="×"))+SUMPRODUCT((H11:I11="特活")*(J11="×"))+SUMPRODUCT((H11:I11="学活")*(J11="×"))+SUMPRODUCT((K11:L11="特活")*(M11="×"))+SUMPRODUCT((K11:L11="学活")*(M11="×"))+SUMPRODUCT((N11:O11="特活")*(P11="×"))+SUMPRODUCT((N11:O11="学活")*(P11="×"))+SUMPRODUCT((B13:C13="特活")*(D13="×"))+SUMPRODUCT((B13:C13="学活")*(D13="×"))+SUMPRODUCT((E13:F13="特活")*(G13="×"))+SUMPRODUCT((E13:F13="学活")*(G13="×"))+SUMPRODUCT((H13:I13="特活")*(J13="×"))+SUMPRODUCT((H13:I13="学活")*(J13="×"))+SUMPRODUCT((K13:L13="特活")*(M13="×"))+SUMPRODUCT((K13:L13="学活")*(M13="×"))+SUMPRODUCT((N13:O13="特活")*(P13="×"))+SUMPRODUCT((N13:O13="学活")*(P13="×"))+SUMPRODUCT((B15:C15="特活")*(D15="×"))+SUMPRODUCT((B15:C15="学活")*(D15="×"))+SUMPRODUCT((E15:F15="特活")*(G15="×"))+SUMPRODUCT((E15:F15="学活")*(G15="×"))+SUMPRODUCT((H15:I15="特活")*(J15="×"))+SUMPRODUCT((H15:I15="学活")*(J15="×"))+SUMPRODUCT((K15:L15="特活")*(M15="×"))+SUMPRODUCT((K15:L15="学活")*(M15="×"))+SUMPRODUCT((N15:O15="特活")*(P15="×"))+SUMPRODUCT((N15:O15="学活")*(P15="×"))+SUMPRODUCT((B17:C17="特活")*(D17="×"))+SUMPRODUCT((B17:C17="学活")*(D17="×"))+SUMPRODUCT((E17:F17="特活")*(G17="×"))+SUMPRODUCT((E17:F17="学活")*(G17="×"))+SUMPRODUCT((H17:I17="特活")*(J17="×"))+SUMPRODUCT((H17:I17="学活")*(J17="×"))+SUMPRODUCT((K17:L17="特活")*(M17="×"))+SUMPRODUCT((K17:L17="学活")*(M17="×"))+SUMPRODUCT((N17:O17="特活")*(P17="×"))+SUMPRODUCT((N17:O17="学活")*(P17="×"))))</f>
        <v>5</v>
      </c>
      <c r="N23" s="19" t="str">
        <f>IF(N24="","",N24-(SUMPRODUCT((B5:C5=N21)*(D5="×"))+SUMPRODUCT((E5:F5=N21)*(G5="×"))+SUMPRODUCT((H5:I5=N21)*(J5="×"))+SUMPRODUCT((K5:L5=N21)*(M5="×"))+SUMPRODUCT((N5:O5=N21)*(P5="×"))+SUMPRODUCT((B7:C7=N21)*(D7="×"))+SUMPRODUCT((E7:F7=N21)*(G7="×"))+SUMPRODUCT((H7:I7=N21)*(J7="×"))+SUMPRODUCT((K7:L7=N21)*(M7="×"))+SUMPRODUCT((N7:O7=N21)*(P7="×"))+SUMPRODUCT((B9:C9=N21)*(D9="×"))+SUMPRODUCT((E9:F9=N21)*(G9="×"))+SUMPRODUCT((H9:I9=N21)*(J9="×"))+SUMPRODUCT((K9:L9=N21)*(M9="×"))+SUMPRODUCT((N9:O9=N21)*(P9="×"))+SUMPRODUCT((B11:C11=N21)*(D11="×"))+SUMPRODUCT((E11:F11=N21)*(G11="×"))+SUMPRODUCT((H11:I11=N21)*(J11="×"))+SUMPRODUCT((K11:L11=N21)*(M11="×"))+SUMPRODUCT((N11:O11=N21)*(P11="×"))+SUMPRODUCT((B13:C13=N21)*(D13="×"))+SUMPRODUCT((E13:F13=N21)*(G13="×"))+SUMPRODUCT((H13:I13=N21)*(J13="×"))+SUMPRODUCT((K13:L13=N21)*(M13="×"))+SUMPRODUCT((N13:O13=N21)*(P13="×"))+SUMPRODUCT((B15:C15=N21)*(D15="×"))+SUMPRODUCT((E15:F15=N21)*(G15="×"))+SUMPRODUCT((H15:I15=N21)*(J15="×"))+SUMPRODUCT((K15:L15=N21)*(M15="×"))+SUMPRODUCT((N15:O15=N21)*(P15="×"))+SUMPRODUCT((B17:C17=N21)*(D17="×"))+SUMPRODUCT((E17:F17=N21)*(G17="×"))+SUMPRODUCT((H17:I17=N21)*(J17="×"))+SUMPRODUCT((K17:L17=N21)*(M17="×"))+SUMPRODUCT((N17:O17=N21)*(P17="×"))))</f>
        <v/>
      </c>
      <c r="O23" s="19">
        <f>IF(O24="","",O24-(SUMPRODUCT((B5:C5=O21)*(D5="×"))+SUMPRODUCT((E5:F5=O21)*(G5="×"))+SUMPRODUCT((H5:I5=O21)*(J5="×"))+SUMPRODUCT((K5:L5=O21)*(M5="×"))+SUMPRODUCT((N5:O5=O21)*(P5="×"))+SUMPRODUCT((B7:C7=O21)*(D7="×"))+SUMPRODUCT((E7:F7=O21)*(G7="×"))+SUMPRODUCT((H7:I7=O21)*(J7="×"))+SUMPRODUCT((K7:L7=O21)*(M7="×"))+SUMPRODUCT((N7:O7=O21)*(P7="×"))+SUMPRODUCT((B9:C9=O21)*(D9="×"))+SUMPRODUCT((E9:F9=O21)*(G9="×"))+SUMPRODUCT((H9:I9=O21)*(J9="×"))+SUMPRODUCT((K9:L9=O21)*(M9="×"))+SUMPRODUCT((N9:O9=O21)*(P9="×"))+SUMPRODUCT((B11:C11=O21)*(D11="×"))+SUMPRODUCT((E11:F11=O21)*(G11="×"))+SUMPRODUCT((H11:I11=O21)*(J11="×"))+SUMPRODUCT((K11:L11=O21)*(M11="×"))+SUMPRODUCT((N11:O11=O21)*(P11="×"))+SUMPRODUCT((B13:C13=O21)*(D13="×"))+SUMPRODUCT((E13:F13=O21)*(G13="×"))+SUMPRODUCT((H13:I13=O21)*(J13="×"))+SUMPRODUCT((K13:L13=O21)*(M13="×"))+SUMPRODUCT((N13:O13=O21)*(P13="×"))+SUMPRODUCT((B15:C15=O21)*(D15="×"))+SUMPRODUCT((E15:F15=O21)*(G15="×"))+SUMPRODUCT((H15:I15=O21)*(J15="×"))+SUMPRODUCT((K15:L15=O21)*(M15="×"))+SUMPRODUCT((N15:O15=O21)*(P15="×"))+SUMPRODUCT((B17:C17=O21)*(D17="×"))+SUMPRODUCT((E17:F17=O21)*(G17="×"))+SUMPRODUCT((H17:I17=O21)*(J17="×"))+SUMPRODUCT((K17:L17=O21)*(M17="×"))+SUMPRODUCT((N17:O17=O21)*(P17="×"))))</f>
        <v>3</v>
      </c>
      <c r="P23" s="20">
        <f>IF(SUM(B23:O23)=0,"",SUM(B23:O23))</f>
        <v>20</v>
      </c>
    </row>
    <row r="24" spans="1:16" ht="13.5" customHeight="1" x14ac:dyDescent="0.2">
      <c r="A24" s="34"/>
      <c r="B24" s="21">
        <f>IF(B21="","",IF(COUNTIF(B5:C5,B21)+COUNTIF(B5:C5,"*,"&amp;B21&amp;",*")+COUNTIF(E5:F5,B21)+COUNTIF(E5:F5,"*,"&amp;B21&amp;",*")+COUNTIF(H5:I5,B21)+COUNTIF(H5:I5,"*,"&amp;B21&amp;",*")+COUNTIF(K5:L5,B21)+COUNTIF(K5:L5,"*,"&amp;B21&amp;",*")+COUNTIF(N5:O5,B21)+COUNTIF(N5:O5,"*,"&amp;B21&amp;",*")+COUNTIF(B7:C7,B21)+COUNTIF(B7:C7,"*,"&amp;B21&amp;",*")+COUNTIF(E7:F7,B21)+COUNTIF(E7:F7,"*,"&amp;B21&amp;",*")+COUNTIF(H7:I7,B21)+COUNTIF(H7:I7,"*,"&amp;B21&amp;",*")+COUNTIF(K7:L7,B21)+COUNTIF(K7:L7,"*,"&amp;B21&amp;",*")+COUNTIF(N7:O7,B21)+COUNTIF(N7:O7,"*,"&amp;B21&amp;",*")+COUNTIF(B9:C9,B21)+COUNTIF(B9:C9,"*,"&amp;B21&amp;",*")+COUNTIF(E9:F9,B21)+COUNTIF(E9:F9,"*,"&amp;B21&amp;",*")+COUNTIF(H9:I9,B21)+COUNTIF(H9:I9,"*,"&amp;B21&amp;",*")+COUNTIF(K9:L9,B21)+COUNTIF(K9:L9,"*,"&amp;B21&amp;",*")+COUNTIF(N9:O9,B21)+COUNTIF(N9:O9,"*,"&amp;B21&amp;",*")+COUNTIF(B11:C11,B21)+COUNTIF(B11:C11,"*,"&amp;B21&amp;",*")+COUNTIF(E11:F11,B21)+COUNTIF(E11:F11,"*,"&amp;B21&amp;",*")+COUNTIF(H11:I11,B21)+COUNTIF(H11:I11,"*,"&amp;B21&amp;",*")+COUNTIF(K11:L11,B21)+COUNTIF(K11:L11,"*,"&amp;B21&amp;",*")+COUNTIF(N11:O11,B21)+COUNTIF(N11:O11,"*,"&amp;B21&amp;",*")+COUNTIF(B13:C13,B21)+COUNTIF(B13:C13,"*,"&amp;B21&amp;",*")+COUNTIF(E13:F13,B21)+COUNTIF(E13:F13,"*,"&amp;B21&amp;",*")+COUNTIF(H13:I13,B21)+COUNTIF(H13:I13,"*,"&amp;B21&amp;",*")+COUNTIF(K13:L13,B21)+COUNTIF(K13:L13,"*,"&amp;B21&amp;",*")+COUNTIF(N13:O13,B21)+COUNTIF(N13:O13,"*,"&amp;B21&amp;",*")+COUNTIF(B15:C15,B21)+COUNTIF(B15:C15,"*,"&amp;B21&amp;",*")+COUNTIF(E15:F15,B21)+COUNTIF(E15:F15,"*,"&amp;B21&amp;",*")+COUNTIF(H15:I15,B21)+COUNTIF(H15:I15,"*,"&amp;B21&amp;",*")+COUNTIF(K15:L15,B21)+COUNTIF(K15:L15,"*,"&amp;B21&amp;",*")+COUNTIF(N15:O15,B21)+COUNTIF(N15:O15,"*,"&amp;B21&amp;",*")+COUNTIF(B17:C17,B21)+COUNTIF(B17:C17,"*,"&amp;B21&amp;",*")+COUNTIF(E17:F17,B21)+COUNTIF(E17:F17,"*,"&amp;B21&amp;",*")+COUNTIF(H17:I17,B21)+COUNTIF(H17:I17,"*,"&amp;B21&amp;",*")+COUNTIF(K17:L17,B21)+COUNTIF(K17:L17,"*,"&amp;B21&amp;",*")+COUNTIF(N17:O17,B21)+COUNTIF(N17:O17,"*,"&amp;B21&amp;",*")=0,"",COUNTIF(B5:C5,B21)+COUNTIF(B5:C5,"*,"&amp;B21&amp;",*")+COUNTIF(E5:F5,B21)+COUNTIF(E5:F5,"*,"&amp;B21&amp;",*")+COUNTIF(H5:I5,B21)+COUNTIF(H5:I5,"*,"&amp;B21&amp;",*")+COUNTIF(K5:L5,B21)+COUNTIF(K5:L5,"*,"&amp;B21&amp;",*")+COUNTIF(N5:O5,B21)+COUNTIF(N5:O5,"*,"&amp;B21&amp;",*")+COUNTIF(B7:C7,B21)+COUNTIF(B7:C7,"*,"&amp;B21&amp;",*")+COUNTIF(E7:F7,B21)+COUNTIF(E7:F7,"*,"&amp;B21&amp;",*")+COUNTIF(H7:I7,B21)+COUNTIF(H7:I7,"*,"&amp;B21&amp;",*")+COUNTIF(K7:L7,B21)+COUNTIF(K7:L7,"*,"&amp;B21&amp;",*")+COUNTIF(N7:O7,B21)+COUNTIF(N7:O7,"*,"&amp;B21&amp;",*")+COUNTIF(B9:C9,B21)+COUNTIF(B9:C9,"*,"&amp;B21&amp;",*")+COUNTIF(E9:F9,B21)+COUNTIF(E9:F9,"*,"&amp;B21&amp;",*")+COUNTIF(H9:I9,B21)+COUNTIF(H9:I9,"*,"&amp;B21&amp;",*")+COUNTIF(K9:L9,B21)+COUNTIF(K9:L9,"*,"&amp;B21&amp;",*")+COUNTIF(N9:O9,B21)+COUNTIF(N9:O9,"*,"&amp;B21&amp;",*")+COUNTIF(B11:C11,B21)+COUNTIF(B11:C11,"*,"&amp;B21&amp;",*")+COUNTIF(E11:F11,B21)+COUNTIF(E11:F11,"*,"&amp;B21&amp;",*")+COUNTIF(H11:I11,B21)+COUNTIF(H11:I11,"*,"&amp;B21&amp;",*")+COUNTIF(K11:L11,B21)+COUNTIF(K11:L11,"*,"&amp;B21&amp;",*")+COUNTIF(N11:O11,B21)+COUNTIF(N11:O11,"*,"&amp;B21&amp;",*")+COUNTIF(B13:C13,B21)+COUNTIF(B13:C13,"*,"&amp;B21&amp;",*")+COUNTIF(E13:F13,B21)+COUNTIF(E13:F13,"*,"&amp;B21&amp;",*")+COUNTIF(H13:I13,B21)+COUNTIF(H13:I13,"*,"&amp;B21&amp;",*")+COUNTIF(K13:L13,B21)+COUNTIF(K13:L13,"*,"&amp;B21&amp;",*")+COUNTIF(N13:O13,B21)+COUNTIF(N13:O13,"*,"&amp;B21&amp;",*")+COUNTIF(B15:C15,B21)+COUNTIF(B15:C15,"*,"&amp;B21&amp;",*")+COUNTIF(E15:F15,B21)+COUNTIF(E15:F15,"*,"&amp;B21&amp;",*")+COUNTIF(H15:I15,B21)+COUNTIF(H15:I15,"*,"&amp;B21&amp;",*")+COUNTIF(K15:L15,B21)+COUNTIF(K15:L15,"*,"&amp;B21&amp;",*")+COUNTIF(N15:O15,B21)+COUNTIF(N15:O15,"*,"&amp;B21&amp;",*")+COUNTIF(B17:C17,B21)+COUNTIF(B17:C17,"*,"&amp;B21&amp;",*")+COUNTIF(E17:F17,B21)+COUNTIF(E17:F17,"*,"&amp;B21&amp;",*")+COUNTIF(H17:I17,B21)+COUNTIF(H17:I17,"*,"&amp;B21&amp;",*")+COUNTIF(K17:L17,B21)+COUNTIF(K17:L17,"*,"&amp;B21&amp;",*")+COUNTIF(N17:O17,B21)+COUNTIF(N17:O17,"*,"&amp;B21&amp;",*")))</f>
        <v>3</v>
      </c>
      <c r="C24" s="21">
        <f>IF(C21="","",IF(COUNTIF(B5:C5,C21)+COUNTIF(B5:C5,"*,"&amp;C21&amp;",*")+COUNTIF(E5:F5,C21)+COUNTIF(E5:F5,"*,"&amp;C21&amp;",*")+COUNTIF(H5:I5,C21)+COUNTIF(H5:I5,"*,"&amp;C21&amp;",*")+COUNTIF(K5:L5,C21)+COUNTIF(K5:L5,"*,"&amp;C21&amp;",*")+COUNTIF(N5:O5,C21)+COUNTIF(N5:O5,"*,"&amp;C21&amp;",*")+COUNTIF(B7:C7,C21)+COUNTIF(B7:C7,"*,"&amp;C21&amp;",*")+COUNTIF(E7:F7,C21)+COUNTIF(E7:F7,"*,"&amp;C21&amp;",*")+COUNTIF(H7:I7,C21)+COUNTIF(H7:I7,"*,"&amp;C21&amp;",*")+COUNTIF(K7:L7,C21)+COUNTIF(K7:L7,"*,"&amp;C21&amp;",*")+COUNTIF(N7:O7,C21)+COUNTIF(N7:O7,"*,"&amp;C21&amp;",*")+COUNTIF(B9:C9,C21)+COUNTIF(B9:C9,"*,"&amp;C21&amp;",*")+COUNTIF(E9:F9,C21)+COUNTIF(E9:F9,"*,"&amp;C21&amp;",*")+COUNTIF(H9:I9,C21)+COUNTIF(H9:I9,"*,"&amp;C21&amp;",*")+COUNTIF(K9:L9,C21)+COUNTIF(K9:L9,"*,"&amp;C21&amp;",*")+COUNTIF(N9:O9,C21)+COUNTIF(N9:O9,"*,"&amp;C21&amp;",*")+COUNTIF(B11:C11,C21)+COUNTIF(B11:C11,"*,"&amp;C21&amp;",*")+COUNTIF(E11:F11,C21)+COUNTIF(E11:F11,"*,"&amp;C21&amp;",*")+COUNTIF(H11:I11,C21)+COUNTIF(H11:I11,"*,"&amp;C21&amp;",*")+COUNTIF(K11:L11,C21)+COUNTIF(K11:L11,"*,"&amp;C21&amp;",*")+COUNTIF(N11:O11,C21)+COUNTIF(N11:O11,"*,"&amp;C21&amp;",*")+COUNTIF(B13:C13,C21)+COUNTIF(B13:C13,"*,"&amp;C21&amp;",*")+COUNTIF(E13:F13,C21)+COUNTIF(E13:F13,"*,"&amp;C21&amp;",*")+COUNTIF(H13:I13,C21)+COUNTIF(H13:I13,"*,"&amp;C21&amp;",*")+COUNTIF(K13:L13,C21)+COUNTIF(K13:L13,"*,"&amp;C21&amp;",*")+COUNTIF(N13:O13,C21)+COUNTIF(N13:O13,"*,"&amp;C21&amp;",*")+COUNTIF(B15:C15,C21)+COUNTIF(B15:C15,"*,"&amp;C21&amp;",*")+COUNTIF(E15:F15,C21)+COUNTIF(E15:F15,"*,"&amp;C21&amp;",*")+COUNTIF(H15:I15,C21)+COUNTIF(H15:I15,"*,"&amp;C21&amp;",*")+COUNTIF(K15:L15,C21)+COUNTIF(K15:L15,"*,"&amp;C21&amp;",*")+COUNTIF(N15:O15,C21)+COUNTIF(N15:O15,"*,"&amp;C21&amp;",*")+COUNTIF(B17:C17,C21)+COUNTIF(B17:C17,"*,"&amp;C21&amp;",*")+COUNTIF(E17:F17,C21)+COUNTIF(E17:F17,"*,"&amp;C21&amp;",*")+COUNTIF(H17:I17,C21)+COUNTIF(H17:I17,"*,"&amp;C21&amp;",*")+COUNTIF(K17:L17,C21)+COUNTIF(K17:L17,"*,"&amp;C21&amp;",*")+COUNTIF(N17:O17,C21)+COUNTIF(N17:O17,"*,"&amp;C21&amp;",*")=0,"",COUNTIF(B5:C5,C21)+COUNTIF(B5:C5,"*,"&amp;C21&amp;",*")+COUNTIF(E5:F5,C21)+COUNTIF(E5:F5,"*,"&amp;C21&amp;",*")+COUNTIF(H5:I5,C21)+COUNTIF(H5:I5,"*,"&amp;C21&amp;",*")+COUNTIF(K5:L5,C21)+COUNTIF(K5:L5,"*,"&amp;C21&amp;",*")+COUNTIF(N5:O5,C21)+COUNTIF(N5:O5,"*,"&amp;C21&amp;",*")+COUNTIF(B7:C7,C21)+COUNTIF(B7:C7,"*,"&amp;C21&amp;",*")+COUNTIF(E7:F7,C21)+COUNTIF(E7:F7,"*,"&amp;C21&amp;",*")+COUNTIF(H7:I7,C21)+COUNTIF(H7:I7,"*,"&amp;C21&amp;",*")+COUNTIF(K7:L7,C21)+COUNTIF(K7:L7,"*,"&amp;C21&amp;",*")+COUNTIF(N7:O7,C21)+COUNTIF(N7:O7,"*,"&amp;C21&amp;",*")+COUNTIF(B9:C9,C21)+COUNTIF(B9:C9,"*,"&amp;C21&amp;",*")+COUNTIF(E9:F9,C21)+COUNTIF(E9:F9,"*,"&amp;C21&amp;",*")+COUNTIF(H9:I9,C21)+COUNTIF(H9:I9,"*,"&amp;C21&amp;",*")+COUNTIF(K9:L9,C21)+COUNTIF(K9:L9,"*,"&amp;C21&amp;",*")+COUNTIF(N9:O9,C21)+COUNTIF(N9:O9,"*,"&amp;C21&amp;",*")+COUNTIF(B11:C11,C21)+COUNTIF(B11:C11,"*,"&amp;C21&amp;",*")+COUNTIF(E11:F11,C21)+COUNTIF(E11:F11,"*,"&amp;C21&amp;",*")+COUNTIF(H11:I11,C21)+COUNTIF(H11:I11,"*,"&amp;C21&amp;",*")+COUNTIF(K11:L11,C21)+COUNTIF(K11:L11,"*,"&amp;C21&amp;",*")+COUNTIF(N11:O11,C21)+COUNTIF(N11:O11,"*,"&amp;C21&amp;",*")+COUNTIF(B13:C13,C21)+COUNTIF(B13:C13,"*,"&amp;C21&amp;",*")+COUNTIF(E13:F13,C21)+COUNTIF(E13:F13,"*,"&amp;C21&amp;",*")+COUNTIF(H13:I13,C21)+COUNTIF(H13:I13,"*,"&amp;C21&amp;",*")+COUNTIF(K13:L13,C21)+COUNTIF(K13:L13,"*,"&amp;C21&amp;",*")+COUNTIF(N13:O13,C21)+COUNTIF(N13:O13,"*,"&amp;C21&amp;",*")+COUNTIF(B15:C15,C21)+COUNTIF(B15:C15,"*,"&amp;C21&amp;",*")+COUNTIF(E15:F15,C21)+COUNTIF(E15:F15,"*,"&amp;C21&amp;",*")+COUNTIF(H15:I15,C21)+COUNTIF(H15:I15,"*,"&amp;C21&amp;",*")+COUNTIF(K15:L15,C21)+COUNTIF(K15:L15,"*,"&amp;C21&amp;",*")+COUNTIF(N15:O15,C21)+COUNTIF(N15:O15,"*,"&amp;C21&amp;",*")+COUNTIF(B17:C17,C21)+COUNTIF(B17:C17,"*,"&amp;C21&amp;",*")+COUNTIF(E17:F17,C21)+COUNTIF(E17:F17,"*,"&amp;C21&amp;",*")+COUNTIF(H17:I17,C21)+COUNTIF(H17:I17,"*,"&amp;C21&amp;",*")+COUNTIF(K17:L17,C21)+COUNTIF(K17:L17,"*,"&amp;C21&amp;",*")+COUNTIF(N17:O17,C21)+COUNTIF(N17:O17,"*,"&amp;C21&amp;",*")))</f>
        <v>3</v>
      </c>
      <c r="D24" s="21">
        <f>IF(D21="","",IF(COUNTIF(B5:C5,D21)+COUNTIF(B5:C5,"*,"&amp;D21&amp;",*")+COUNTIF(E5:F5,D21)+COUNTIF(E5:F5,"*,"&amp;D21&amp;",*")+COUNTIF(H5:I5,D21)+COUNTIF(H5:I5,"*,"&amp;D21&amp;",*")+COUNTIF(K5:L5,D21)+COUNTIF(K5:L5,"*,"&amp;D21&amp;",*")+COUNTIF(N5:O5,D21)+COUNTIF(N5:O5,"*,"&amp;D21&amp;",*")+COUNTIF(B7:C7,D21)+COUNTIF(B7:C7,"*,"&amp;D21&amp;",*")+COUNTIF(E7:F7,D21)+COUNTIF(E7:F7,"*,"&amp;D21&amp;",*")+COUNTIF(H7:I7,D21)+COUNTIF(H7:I7,"*,"&amp;D21&amp;",*")+COUNTIF(K7:L7,D21)+COUNTIF(K7:L7,"*,"&amp;D21&amp;",*")+COUNTIF(N7:O7,D21)+COUNTIF(N7:O7,"*,"&amp;D21&amp;",*")+COUNTIF(B9:C9,D21)+COUNTIF(B9:C9,"*,"&amp;D21&amp;",*")+COUNTIF(E9:F9,D21)+COUNTIF(E9:F9,"*,"&amp;D21&amp;",*")+COUNTIF(H9:I9,D21)+COUNTIF(H9:I9,"*,"&amp;D21&amp;",*")+COUNTIF(K9:L9,D21)+COUNTIF(K9:L9,"*,"&amp;D21&amp;",*")+COUNTIF(N9:O9,D21)+COUNTIF(N9:O9,"*,"&amp;D21&amp;",*")+COUNTIF(B11:C11,D21)+COUNTIF(B11:C11,"*,"&amp;D21&amp;",*")+COUNTIF(E11:F11,D21)+COUNTIF(E11:F11,"*,"&amp;D21&amp;",*")+COUNTIF(H11:I11,D21)+COUNTIF(H11:I11,"*,"&amp;D21&amp;",*")+COUNTIF(K11:L11,D21)+COUNTIF(K11:L11,"*,"&amp;D21&amp;",*")+COUNTIF(N11:O11,D21)+COUNTIF(N11:O11,"*,"&amp;D21&amp;",*")+COUNTIF(B13:C13,D21)+COUNTIF(B13:C13,"*,"&amp;D21&amp;",*")+COUNTIF(E13:F13,D21)+COUNTIF(E13:F13,"*,"&amp;D21&amp;",*")+COUNTIF(H13:I13,D21)+COUNTIF(H13:I13,"*,"&amp;D21&amp;",*")+COUNTIF(K13:L13,D21)+COUNTIF(K13:L13,"*,"&amp;D21&amp;",*")+COUNTIF(N13:O13,D21)+COUNTIF(N13:O13,"*,"&amp;D21&amp;",*")+COUNTIF(B15:C15,D21)+COUNTIF(B15:C15,"*,"&amp;D21&amp;",*")+COUNTIF(E15:F15,D21)+COUNTIF(E15:F15,"*,"&amp;D21&amp;",*")+COUNTIF(H15:I15,D21)+COUNTIF(H15:I15,"*,"&amp;D21&amp;",*")+COUNTIF(K15:L15,D21)+COUNTIF(K15:L15,"*,"&amp;D21&amp;",*")+COUNTIF(N15:O15,D21)+COUNTIF(N15:O15,"*,"&amp;D21&amp;",*")+COUNTIF(B17:C17,D21)+COUNTIF(B17:C17,"*,"&amp;D21&amp;",*")+COUNTIF(E17:F17,D21)+COUNTIF(E17:F17,"*,"&amp;D21&amp;",*")+COUNTIF(H17:I17,D21)+COUNTIF(H17:I17,"*,"&amp;D21&amp;",*")+COUNTIF(K17:L17,D21)+COUNTIF(K17:L17,"*,"&amp;D21&amp;",*")+COUNTIF(N17:O17,D21)+COUNTIF(N17:O17,"*,"&amp;D21&amp;",*")=0,"",COUNTIF(B5:C5,D21)+COUNTIF(B5:C5,"*,"&amp;D21&amp;",*")+COUNTIF(E5:F5,D21)+COUNTIF(E5:F5,"*,"&amp;D21&amp;",*")+COUNTIF(H5:I5,D21)+COUNTIF(H5:I5,"*,"&amp;D21&amp;",*")+COUNTIF(K5:L5,D21)+COUNTIF(K5:L5,"*,"&amp;D21&amp;",*")+COUNTIF(N5:O5,D21)+COUNTIF(N5:O5,"*,"&amp;D21&amp;",*")+COUNTIF(B7:C7,D21)+COUNTIF(B7:C7,"*,"&amp;D21&amp;",*")+COUNTIF(E7:F7,D21)+COUNTIF(E7:F7,"*,"&amp;D21&amp;",*")+COUNTIF(H7:I7,D21)+COUNTIF(H7:I7,"*,"&amp;D21&amp;",*")+COUNTIF(K7:L7,D21)+COUNTIF(K7:L7,"*,"&amp;D21&amp;",*")+COUNTIF(N7:O7,D21)+COUNTIF(N7:O7,"*,"&amp;D21&amp;",*")+COUNTIF(B9:C9,D21)+COUNTIF(B9:C9,"*,"&amp;D21&amp;",*")+COUNTIF(E9:F9,D21)+COUNTIF(E9:F9,"*,"&amp;D21&amp;",*")+COUNTIF(H9:I9,D21)+COUNTIF(H9:I9,"*,"&amp;D21&amp;",*")+COUNTIF(K9:L9,D21)+COUNTIF(K9:L9,"*,"&amp;D21&amp;",*")+COUNTIF(N9:O9,D21)+COUNTIF(N9:O9,"*,"&amp;D21&amp;",*")+COUNTIF(B11:C11,D21)+COUNTIF(B11:C11,"*,"&amp;D21&amp;",*")+COUNTIF(E11:F11,D21)+COUNTIF(E11:F11,"*,"&amp;D21&amp;",*")+COUNTIF(H11:I11,D21)+COUNTIF(H11:I11,"*,"&amp;D21&amp;",*")+COUNTIF(K11:L11,D21)+COUNTIF(K11:L11,"*,"&amp;D21&amp;",*")+COUNTIF(N11:O11,D21)+COUNTIF(N11:O11,"*,"&amp;D21&amp;",*")+COUNTIF(B13:C13,D21)+COUNTIF(B13:C13,"*,"&amp;D21&amp;",*")+COUNTIF(E13:F13,D21)+COUNTIF(E13:F13,"*,"&amp;D21&amp;",*")+COUNTIF(H13:I13,D21)+COUNTIF(H13:I13,"*,"&amp;D21&amp;",*")+COUNTIF(K13:L13,D21)+COUNTIF(K13:L13,"*,"&amp;D21&amp;",*")+COUNTIF(N13:O13,D21)+COUNTIF(N13:O13,"*,"&amp;D21&amp;",*")+COUNTIF(B15:C15,D21)+COUNTIF(B15:C15,"*,"&amp;D21&amp;",*")+COUNTIF(E15:F15,D21)+COUNTIF(E15:F15,"*,"&amp;D21&amp;",*")+COUNTIF(H15:I15,D21)+COUNTIF(H15:I15,"*,"&amp;D21&amp;",*")+COUNTIF(K15:L15,D21)+COUNTIF(K15:L15,"*,"&amp;D21&amp;",*")+COUNTIF(N15:O15,D21)+COUNTIF(N15:O15,"*,"&amp;D21&amp;",*")+COUNTIF(B17:C17,D21)+COUNTIF(B17:C17,"*,"&amp;D21&amp;",*")+COUNTIF(E17:F17,D21)+COUNTIF(E17:F17,"*,"&amp;D21&amp;",*")+COUNTIF(H17:I17,D21)+COUNTIF(H17:I17,"*,"&amp;D21&amp;",*")+COUNTIF(K17:L17,D21)+COUNTIF(K17:L17,"*,"&amp;D21&amp;",*")+COUNTIF(N17:O17,D21)+COUNTIF(N17:O17,"*,"&amp;D21&amp;",*")))</f>
        <v>4</v>
      </c>
      <c r="E24" s="21">
        <f>IF(E21="","",IF(COUNTIF(B5:C5,E21)+COUNTIF(B5:C5,"*,"&amp;E21&amp;",*")+COUNTIF(E5:F5,E21)+COUNTIF(E5:F5,"*,"&amp;E21&amp;",*")+COUNTIF(H5:I5,E21)+COUNTIF(H5:I5,"*,"&amp;E21&amp;",*")+COUNTIF(K5:L5,E21)+COUNTIF(K5:L5,"*,"&amp;E21&amp;",*")+COUNTIF(N5:O5,E21)+COUNTIF(N5:O5,"*,"&amp;E21&amp;",*")+COUNTIF(B7:C7,E21)+COUNTIF(B7:C7,"*,"&amp;E21&amp;",*")+COUNTIF(E7:F7,E21)+COUNTIF(E7:F7,"*,"&amp;E21&amp;",*")+COUNTIF(H7:I7,E21)+COUNTIF(H7:I7,"*,"&amp;E21&amp;",*")+COUNTIF(K7:L7,E21)+COUNTIF(K7:L7,"*,"&amp;E21&amp;",*")+COUNTIF(N7:O7,E21)+COUNTIF(N7:O7,"*,"&amp;E21&amp;",*")+COUNTIF(B9:C9,E21)+COUNTIF(B9:C9,"*,"&amp;E21&amp;",*")+COUNTIF(E9:F9,E21)+COUNTIF(E9:F9,"*,"&amp;E21&amp;",*")+COUNTIF(H9:I9,E21)+COUNTIF(H9:I9,"*,"&amp;E21&amp;",*")+COUNTIF(K9:L9,E21)+COUNTIF(K9:L9,"*,"&amp;E21&amp;",*")+COUNTIF(N9:O9,E21)+COUNTIF(N9:O9,"*,"&amp;E21&amp;",*")+COUNTIF(B11:C11,E21)+COUNTIF(B11:C11,"*,"&amp;E21&amp;",*")+COUNTIF(E11:F11,E21)+COUNTIF(E11:F11,"*,"&amp;E21&amp;",*")+COUNTIF(H11:I11,E21)+COUNTIF(H11:I11,"*,"&amp;E21&amp;",*")+COUNTIF(K11:L11,E21)+COUNTIF(K11:L11,"*,"&amp;E21&amp;",*")+COUNTIF(N11:O11,E21)+COUNTIF(N11:O11,"*,"&amp;E21&amp;",*")+COUNTIF(B13:C13,E21)+COUNTIF(B13:C13,"*,"&amp;E21&amp;",*")+COUNTIF(E13:F13,E21)+COUNTIF(E13:F13,"*,"&amp;E21&amp;",*")+COUNTIF(H13:I13,E21)+COUNTIF(H13:I13,"*,"&amp;E21&amp;",*")+COUNTIF(K13:L13,E21)+COUNTIF(K13:L13,"*,"&amp;E21&amp;",*")+COUNTIF(N13:O13,E21)+COUNTIF(N13:O13,"*,"&amp;E21&amp;",*")+COUNTIF(B15:C15,E21)+COUNTIF(B15:C15,"*,"&amp;E21&amp;",*")+COUNTIF(E15:F15,E21)+COUNTIF(E15:F15,"*,"&amp;E21&amp;",*")+COUNTIF(H15:I15,E21)+COUNTIF(H15:I15,"*,"&amp;E21&amp;",*")+COUNTIF(K15:L15,E21)+COUNTIF(K15:L15,"*,"&amp;E21&amp;",*")+COUNTIF(N15:O15,E21)+COUNTIF(N15:O15,"*,"&amp;E21&amp;",*")+COUNTIF(B17:C17,E21)+COUNTIF(B17:C17,"*,"&amp;E21&amp;",*")+COUNTIF(E17:F17,E21)+COUNTIF(E17:F17,"*,"&amp;E21&amp;",*")+COUNTIF(H17:I17,E21)+COUNTIF(H17:I17,"*,"&amp;E21&amp;",*")+COUNTIF(K17:L17,E21)+COUNTIF(K17:L17,"*,"&amp;E21&amp;",*")+COUNTIF(N17:O17,E21)+COUNTIF(N17:O17,"*,"&amp;E21&amp;",*")=0,"",COUNTIF(B5:C5,E21)+COUNTIF(B5:C5,"*,"&amp;E21&amp;",*")+COUNTIF(E5:F5,E21)+COUNTIF(E5:F5,"*,"&amp;E21&amp;",*")+COUNTIF(H5:I5,E21)+COUNTIF(H5:I5,"*,"&amp;E21&amp;",*")+COUNTIF(K5:L5,E21)+COUNTIF(K5:L5,"*,"&amp;E21&amp;",*")+COUNTIF(N5:O5,E21)+COUNTIF(N5:O5,"*,"&amp;E21&amp;",*")+COUNTIF(B7:C7,E21)+COUNTIF(B7:C7,"*,"&amp;E21&amp;",*")+COUNTIF(E7:F7,E21)+COUNTIF(E7:F7,"*,"&amp;E21&amp;",*")+COUNTIF(H7:I7,E21)+COUNTIF(H7:I7,"*,"&amp;E21&amp;",*")+COUNTIF(K7:L7,E21)+COUNTIF(K7:L7,"*,"&amp;E21&amp;",*")+COUNTIF(N7:O7,E21)+COUNTIF(N7:O7,"*,"&amp;E21&amp;",*")+COUNTIF(B9:C9,E21)+COUNTIF(B9:C9,"*,"&amp;E21&amp;",*")+COUNTIF(E9:F9,E21)+COUNTIF(E9:F9,"*,"&amp;E21&amp;",*")+COUNTIF(H9:I9,E21)+COUNTIF(H9:I9,"*,"&amp;E21&amp;",*")+COUNTIF(K9:L9,E21)+COUNTIF(K9:L9,"*,"&amp;E21&amp;",*")+COUNTIF(N9:O9,E21)+COUNTIF(N9:O9,"*,"&amp;E21&amp;",*")+COUNTIF(B11:C11,E21)+COUNTIF(B11:C11,"*,"&amp;E21&amp;",*")+COUNTIF(E11:F11,E21)+COUNTIF(E11:F11,"*,"&amp;E21&amp;",*")+COUNTIF(H11:I11,E21)+COUNTIF(H11:I11,"*,"&amp;E21&amp;",*")+COUNTIF(K11:L11,E21)+COUNTIF(K11:L11,"*,"&amp;E21&amp;",*")+COUNTIF(N11:O11,E21)+COUNTIF(N11:O11,"*,"&amp;E21&amp;",*")+COUNTIF(B13:C13,E21)+COUNTIF(B13:C13,"*,"&amp;E21&amp;",*")+COUNTIF(E13:F13,E21)+COUNTIF(E13:F13,"*,"&amp;E21&amp;",*")+COUNTIF(H13:I13,E21)+COUNTIF(H13:I13,"*,"&amp;E21&amp;",*")+COUNTIF(K13:L13,E21)+COUNTIF(K13:L13,"*,"&amp;E21&amp;",*")+COUNTIF(N13:O13,E21)+COUNTIF(N13:O13,"*,"&amp;E21&amp;",*")+COUNTIF(B15:C15,E21)+COUNTIF(B15:C15,"*,"&amp;E21&amp;",*")+COUNTIF(E15:F15,E21)+COUNTIF(E15:F15,"*,"&amp;E21&amp;",*")+COUNTIF(H15:I15,E21)+COUNTIF(H15:I15,"*,"&amp;E21&amp;",*")+COUNTIF(K15:L15,E21)+COUNTIF(K15:L15,"*,"&amp;E21&amp;",*")+COUNTIF(N15:O15,E21)+COUNTIF(N15:O15,"*,"&amp;E21&amp;",*")+COUNTIF(B17:C17,E21)+COUNTIF(B17:C17,"*,"&amp;E21&amp;",*")+COUNTIF(E17:F17,E21)+COUNTIF(E17:F17,"*,"&amp;E21&amp;",*")+COUNTIF(H17:I17,E21)+COUNTIF(H17:I17,"*,"&amp;E21&amp;",*")+COUNTIF(K17:L17,E21)+COUNTIF(K17:L17,"*,"&amp;E21&amp;",*")+COUNTIF(N17:O17,E21)+COUNTIF(N17:O17,"*,"&amp;E21&amp;",*")))</f>
        <v>1</v>
      </c>
      <c r="F24" s="21" t="str">
        <f>IF(F21="","",IF(COUNTIF(B5:C5,F21)+COUNTIF(B5:C5,"*,"&amp;F21&amp;",*")+COUNTIF(E5:F5,F21)+COUNTIF(E5:F5,"*,"&amp;F21&amp;",*")+COUNTIF(H5:I5,F21)+COUNTIF(H5:I5,"*,"&amp;F21&amp;",*")+COUNTIF(K5:L5,F21)+COUNTIF(K5:L5,"*,"&amp;F21&amp;",*")+COUNTIF(N5:O5,F21)+COUNTIF(N5:O5,"*,"&amp;F21&amp;",*")+COUNTIF(B7:C7,F21)+COUNTIF(B7:C7,"*,"&amp;F21&amp;",*")+COUNTIF(E7:F7,F21)+COUNTIF(E7:F7,"*,"&amp;F21&amp;",*")+COUNTIF(H7:I7,F21)+COUNTIF(H7:I7,"*,"&amp;F21&amp;",*")+COUNTIF(K7:L7,F21)+COUNTIF(K7:L7,"*,"&amp;F21&amp;",*")+COUNTIF(N7:O7,F21)+COUNTIF(N7:O7,"*,"&amp;F21&amp;",*")+COUNTIF(B9:C9,F21)+COUNTIF(B9:C9,"*,"&amp;F21&amp;",*")+COUNTIF(E9:F9,F21)+COUNTIF(E9:F9,"*,"&amp;F21&amp;",*")+COUNTIF(H9:I9,F21)+COUNTIF(H9:I9,"*,"&amp;F21&amp;",*")+COUNTIF(K9:L9,F21)+COUNTIF(K9:L9,"*,"&amp;F21&amp;",*")+COUNTIF(N9:O9,F21)+COUNTIF(N9:O9,"*,"&amp;F21&amp;",*")+COUNTIF(B11:C11,F21)+COUNTIF(B11:C11,"*,"&amp;F21&amp;",*")+COUNTIF(E11:F11,F21)+COUNTIF(E11:F11,"*,"&amp;F21&amp;",*")+COUNTIF(H11:I11,F21)+COUNTIF(H11:I11,"*,"&amp;F21&amp;",*")+COUNTIF(K11:L11,F21)+COUNTIF(K11:L11,"*,"&amp;F21&amp;",*")+COUNTIF(N11:O11,F21)+COUNTIF(N11:O11,"*,"&amp;F21&amp;",*")+COUNTIF(B13:C13,F21)+COUNTIF(B13:C13,"*,"&amp;F21&amp;",*")+COUNTIF(E13:F13,F21)+COUNTIF(E13:F13,"*,"&amp;F21&amp;",*")+COUNTIF(H13:I13,F21)+COUNTIF(H13:I13,"*,"&amp;F21&amp;",*")+COUNTIF(K13:L13,F21)+COUNTIF(K13:L13,"*,"&amp;F21&amp;",*")+COUNTIF(N13:O13,F21)+COUNTIF(N13:O13,"*,"&amp;F21&amp;",*")+COUNTIF(B15:C15,F21)+COUNTIF(B15:C15,"*,"&amp;F21&amp;",*")+COUNTIF(E15:F15,F21)+COUNTIF(E15:F15,"*,"&amp;F21&amp;",*")+COUNTIF(H15:I15,F21)+COUNTIF(H15:I15,"*,"&amp;F21&amp;",*")+COUNTIF(K15:L15,F21)+COUNTIF(K15:L15,"*,"&amp;F21&amp;",*")+COUNTIF(N15:O15,F21)+COUNTIF(N15:O15,"*,"&amp;F21&amp;",*")+COUNTIF(B17:C17,F21)+COUNTIF(B17:C17,"*,"&amp;F21&amp;",*")+COUNTIF(E17:F17,F21)+COUNTIF(E17:F17,"*,"&amp;F21&amp;",*")+COUNTIF(H17:I17,F21)+COUNTIF(H17:I17,"*,"&amp;F21&amp;",*")+COUNTIF(K17:L17,F21)+COUNTIF(K17:L17,"*,"&amp;F21&amp;",*")+COUNTIF(N17:O17,F21)+COUNTIF(N17:O17,"*,"&amp;F21&amp;",*")=0,"",COUNTIF(B5:C5,F21)+COUNTIF(B5:C5,"*,"&amp;F21&amp;",*")+COUNTIF(E5:F5,F21)+COUNTIF(E5:F5,"*,"&amp;F21&amp;",*")+COUNTIF(H5:I5,F21)+COUNTIF(H5:I5,"*,"&amp;F21&amp;",*")+COUNTIF(K5:L5,F21)+COUNTIF(K5:L5,"*,"&amp;F21&amp;",*")+COUNTIF(N5:O5,F21)+COUNTIF(N5:O5,"*,"&amp;F21&amp;",*")+COUNTIF(B7:C7,F21)+COUNTIF(B7:C7,"*,"&amp;F21&amp;",*")+COUNTIF(E7:F7,F21)+COUNTIF(E7:F7,"*,"&amp;F21&amp;",*")+COUNTIF(H7:I7,F21)+COUNTIF(H7:I7,"*,"&amp;F21&amp;",*")+COUNTIF(K7:L7,F21)+COUNTIF(K7:L7,"*,"&amp;F21&amp;",*")+COUNTIF(N7:O7,F21)+COUNTIF(N7:O7,"*,"&amp;F21&amp;",*")+COUNTIF(B9:C9,F21)+COUNTIF(B9:C9,"*,"&amp;F21&amp;",*")+COUNTIF(E9:F9,F21)+COUNTIF(E9:F9,"*,"&amp;F21&amp;",*")+COUNTIF(H9:I9,F21)+COUNTIF(H9:I9,"*,"&amp;F21&amp;",*")+COUNTIF(K9:L9,F21)+COUNTIF(K9:L9,"*,"&amp;F21&amp;",*")+COUNTIF(N9:O9,F21)+COUNTIF(N9:O9,"*,"&amp;F21&amp;",*")+COUNTIF(B11:C11,F21)+COUNTIF(B11:C11,"*,"&amp;F21&amp;",*")+COUNTIF(E11:F11,F21)+COUNTIF(E11:F11,"*,"&amp;F21&amp;",*")+COUNTIF(H11:I11,F21)+COUNTIF(H11:I11,"*,"&amp;F21&amp;",*")+COUNTIF(K11:L11,F21)+COUNTIF(K11:L11,"*,"&amp;F21&amp;",*")+COUNTIF(N11:O11,F21)+COUNTIF(N11:O11,"*,"&amp;F21&amp;",*")+COUNTIF(B13:C13,F21)+COUNTIF(B13:C13,"*,"&amp;F21&amp;",*")+COUNTIF(E13:F13,F21)+COUNTIF(E13:F13,"*,"&amp;F21&amp;",*")+COUNTIF(H13:I13,F21)+COUNTIF(H13:I13,"*,"&amp;F21&amp;",*")+COUNTIF(K13:L13,F21)+COUNTIF(K13:L13,"*,"&amp;F21&amp;",*")+COUNTIF(N13:O13,F21)+COUNTIF(N13:O13,"*,"&amp;F21&amp;",*")+COUNTIF(B15:C15,F21)+COUNTIF(B15:C15,"*,"&amp;F21&amp;",*")+COUNTIF(E15:F15,F21)+COUNTIF(E15:F15,"*,"&amp;F21&amp;",*")+COUNTIF(H15:I15,F21)+COUNTIF(H15:I15,"*,"&amp;F21&amp;",*")+COUNTIF(K15:L15,F21)+COUNTIF(K15:L15,"*,"&amp;F21&amp;",*")+COUNTIF(N15:O15,F21)+COUNTIF(N15:O15,"*,"&amp;F21&amp;",*")+COUNTIF(B17:C17,F21)+COUNTIF(B17:C17,"*,"&amp;F21&amp;",*")+COUNTIF(E17:F17,F21)+COUNTIF(E17:F17,"*,"&amp;F21&amp;",*")+COUNTIF(H17:I17,F21)+COUNTIF(H17:I17,"*,"&amp;F21&amp;",*")+COUNTIF(K17:L17,F21)+COUNTIF(K17:L17,"*,"&amp;F21&amp;",*")+COUNTIF(N17:O17,F21)+COUNTIF(N17:O17,"*,"&amp;F21&amp;",*")))</f>
        <v/>
      </c>
      <c r="G24" s="21">
        <f>IF(G21="","",IF(COUNTIF(B5:C5,G21)+COUNTIF(B5:C5,"*,"&amp;G21&amp;",*")+COUNTIF(E5:F5,G21)+COUNTIF(E5:F5,"*,"&amp;G21&amp;",*")+COUNTIF(H5:I5,G21)+COUNTIF(H5:I5,"*,"&amp;G21&amp;",*")+COUNTIF(K5:L5,G21)+COUNTIF(K5:L5,"*,"&amp;G21&amp;",*")+COUNTIF(N5:O5,G21)+COUNTIF(N5:O5,"*,"&amp;G21&amp;",*")+COUNTIF(B7:C7,G21)+COUNTIF(B7:C7,"*,"&amp;G21&amp;",*")+COUNTIF(E7:F7,G21)+COUNTIF(E7:F7,"*,"&amp;G21&amp;",*")+COUNTIF(H7:I7,G21)+COUNTIF(H7:I7,"*,"&amp;G21&amp;",*")+COUNTIF(K7:L7,G21)+COUNTIF(K7:L7,"*,"&amp;G21&amp;",*")+COUNTIF(N7:O7,G21)+COUNTIF(N7:O7,"*,"&amp;G21&amp;",*")+COUNTIF(B9:C9,G21)+COUNTIF(B9:C9,"*,"&amp;G21&amp;",*")+COUNTIF(E9:F9,G21)+COUNTIF(E9:F9,"*,"&amp;G21&amp;",*")+COUNTIF(H9:I9,G21)+COUNTIF(H9:I9,"*,"&amp;G21&amp;",*")+COUNTIF(K9:L9,G21)+COUNTIF(K9:L9,"*,"&amp;G21&amp;",*")+COUNTIF(N9:O9,G21)+COUNTIF(N9:O9,"*,"&amp;G21&amp;",*")+COUNTIF(B11:C11,G21)+COUNTIF(B11:C11,"*,"&amp;G21&amp;",*")+COUNTIF(E11:F11,G21)+COUNTIF(E11:F11,"*,"&amp;G21&amp;",*")+COUNTIF(H11:I11,G21)+COUNTIF(H11:I11,"*,"&amp;G21&amp;",*")+COUNTIF(K11:L11,G21)+COUNTIF(K11:L11,"*,"&amp;G21&amp;",*")+COUNTIF(N11:O11,G21)+COUNTIF(N11:O11,"*,"&amp;G21&amp;",*")+COUNTIF(B13:C13,G21)+COUNTIF(B13:C13,"*,"&amp;G21&amp;",*")+COUNTIF(E13:F13,G21)+COUNTIF(E13:F13,"*,"&amp;G21&amp;",*")+COUNTIF(H13:I13,G21)+COUNTIF(H13:I13,"*,"&amp;G21&amp;",*")+COUNTIF(K13:L13,G21)+COUNTIF(K13:L13,"*,"&amp;G21&amp;",*")+COUNTIF(N13:O13,G21)+COUNTIF(N13:O13,"*,"&amp;G21&amp;",*")+COUNTIF(B15:C15,G21)+COUNTIF(B15:C15,"*,"&amp;G21&amp;",*")+COUNTIF(E15:F15,G21)+COUNTIF(E15:F15,"*,"&amp;G21&amp;",*")+COUNTIF(H15:I15,G21)+COUNTIF(H15:I15,"*,"&amp;G21&amp;",*")+COUNTIF(K15:L15,G21)+COUNTIF(K15:L15,"*,"&amp;G21&amp;",*")+COUNTIF(N15:O15,G21)+COUNTIF(N15:O15,"*,"&amp;G21&amp;",*")+COUNTIF(B17:C17,G21)+COUNTIF(B17:C17,"*,"&amp;G21&amp;",*")+COUNTIF(E17:F17,G21)+COUNTIF(E17:F17,"*,"&amp;G21&amp;",*")+COUNTIF(H17:I17,G21)+COUNTIF(H17:I17,"*,"&amp;G21&amp;",*")+COUNTIF(K17:L17,G21)+COUNTIF(K17:L17,"*,"&amp;G21&amp;",*")+COUNTIF(N17:O17,G21)+COUNTIF(N17:O17,"*,"&amp;G21&amp;",*")=0,"",COUNTIF(B5:C5,G21)+COUNTIF(B5:C5,"*,"&amp;G21&amp;",*")+COUNTIF(E5:F5,G21)+COUNTIF(E5:F5,"*,"&amp;G21&amp;",*")+COUNTIF(H5:I5,G21)+COUNTIF(H5:I5,"*,"&amp;G21&amp;",*")+COUNTIF(K5:L5,G21)+COUNTIF(K5:L5,"*,"&amp;G21&amp;",*")+COUNTIF(N5:O5,G21)+COUNTIF(N5:O5,"*,"&amp;G21&amp;",*")+COUNTIF(B7:C7,G21)+COUNTIF(B7:C7,"*,"&amp;G21&amp;",*")+COUNTIF(E7:F7,G21)+COUNTIF(E7:F7,"*,"&amp;G21&amp;",*")+COUNTIF(H7:I7,G21)+COUNTIF(H7:I7,"*,"&amp;G21&amp;",*")+COUNTIF(K7:L7,G21)+COUNTIF(K7:L7,"*,"&amp;G21&amp;",*")+COUNTIF(N7:O7,G21)+COUNTIF(N7:O7,"*,"&amp;G21&amp;",*")+COUNTIF(B9:C9,G21)+COUNTIF(B9:C9,"*,"&amp;G21&amp;",*")+COUNTIF(E9:F9,G21)+COUNTIF(E9:F9,"*,"&amp;G21&amp;",*")+COUNTIF(H9:I9,G21)+COUNTIF(H9:I9,"*,"&amp;G21&amp;",*")+COUNTIF(K9:L9,G21)+COUNTIF(K9:L9,"*,"&amp;G21&amp;",*")+COUNTIF(N9:O9,G21)+COUNTIF(N9:O9,"*,"&amp;G21&amp;",*")+COUNTIF(B11:C11,G21)+COUNTIF(B11:C11,"*,"&amp;G21&amp;",*")+COUNTIF(E11:F11,G21)+COUNTIF(E11:F11,"*,"&amp;G21&amp;",*")+COUNTIF(H11:I11,G21)+COUNTIF(H11:I11,"*,"&amp;G21&amp;",*")+COUNTIF(K11:L11,G21)+COUNTIF(K11:L11,"*,"&amp;G21&amp;",*")+COUNTIF(N11:O11,G21)+COUNTIF(N11:O11,"*,"&amp;G21&amp;",*")+COUNTIF(B13:C13,G21)+COUNTIF(B13:C13,"*,"&amp;G21&amp;",*")+COUNTIF(E13:F13,G21)+COUNTIF(E13:F13,"*,"&amp;G21&amp;",*")+COUNTIF(H13:I13,G21)+COUNTIF(H13:I13,"*,"&amp;G21&amp;",*")+COUNTIF(K13:L13,G21)+COUNTIF(K13:L13,"*,"&amp;G21&amp;",*")+COUNTIF(N13:O13,G21)+COUNTIF(N13:O13,"*,"&amp;G21&amp;",*")+COUNTIF(B15:C15,G21)+COUNTIF(B15:C15,"*,"&amp;G21&amp;",*")+COUNTIF(E15:F15,G21)+COUNTIF(E15:F15,"*,"&amp;G21&amp;",*")+COUNTIF(H15:I15,G21)+COUNTIF(H15:I15,"*,"&amp;G21&amp;",*")+COUNTIF(K15:L15,G21)+COUNTIF(K15:L15,"*,"&amp;G21&amp;",*")+COUNTIF(N15:O15,G21)+COUNTIF(N15:O15,"*,"&amp;G21&amp;",*")+COUNTIF(B17:C17,G21)+COUNTIF(B17:C17,"*,"&amp;G21&amp;",*")+COUNTIF(E17:F17,G21)+COUNTIF(E17:F17,"*,"&amp;G21&amp;",*")+COUNTIF(H17:I17,G21)+COUNTIF(H17:I17,"*,"&amp;G21&amp;",*")+COUNTIF(K17:L17,G21)+COUNTIF(K17:L17,"*,"&amp;G21&amp;",*")+COUNTIF(N17:O17,G21)+COUNTIF(N17:O17,"*,"&amp;G21&amp;",*")))</f>
        <v>1</v>
      </c>
      <c r="H24" s="21"/>
      <c r="I24" s="21"/>
      <c r="J24" s="21"/>
      <c r="K24" s="21"/>
      <c r="L24" s="21"/>
      <c r="M24" s="21">
        <f>IF(COUNTIF(B5:C5,"特活")+COUNTIF(B5:C5,"学活")+COUNTIF(E5:F5,"特活")+COUNTIF(E5:F5,"学活")+COUNTIF(H5:I5,"特活")+COUNTIF(H5:I5,"学活")+COUNTIF(K5:L5,"特活")+COUNTIF(K5:L5,"学活")+COUNTIF(N5:O5,"特活")+COUNTIF(N5:O5,"学活")+COUNTIF(B7:C7,"特活")+COUNTIF(B7:C7,"学活")+COUNTIF(E7:F7,"特活")+COUNTIF(E7:F7,"学活")+COUNTIF(H7:I7,"特活")+COUNTIF(H7:I7,"学活")+COUNTIF(K7:L7,"特活")+COUNTIF(K7:L7,"学活")+COUNTIF(N7:O7,"特活")+COUNTIF(N7:O7,"学活")+COUNTIF(B9:C9,"特活")+COUNTIF(B9:C9,"学活")+COUNTIF(E9:F9,"特活")+COUNTIF(E9:F9,"学活")+COUNTIF(H9:I9,"特活")+COUNTIF(H9:I9,"学活")+COUNTIF(K9:L9,"特活")+COUNTIF(K9:L9,"学活")+COUNTIF(N9:O9,"特活")+COUNTIF(N9:O9,"学活")+COUNTIF(B11:C11,"特活")+COUNTIF(B11:C11,"学活")+COUNTIF(E11:F11,"特活")+COUNTIF(E11:F11,"学活")+COUNTIF(H11:I11,"特活")+COUNTIF(H11:I11,"学活")+COUNTIF(K11:L11,"特活")+COUNTIF(K11:L11,"学活")+COUNTIF(N11:O11,"特活")+COUNTIF(N11:O11,"学活")+COUNTIF(B13:C13,"特活")+COUNTIF(B13:C13,"学活")+COUNTIF(E13:F13,"特活")+COUNTIF(E13:F13,"学活")+COUNTIF(H13:I13,"特活")+COUNTIF(H13:I13,"学活")+COUNTIF(K13:L13,"特活")+COUNTIF(K13:L13,"学活")+COUNTIF(N13:O13,"特活")+COUNTIF(N13:O13,"学活")+COUNTIF(B15:C15,"特活")+COUNTIF(B15:C15,"学活")+COUNTIF(E15:F15,"特活")+COUNTIF(E15:F15,"学活")+COUNTIF(H15:I15,"特活")+COUNTIF(H15:I15,"学活")+COUNTIF(K15:L15,"特活")+COUNTIF(K15:L15,"学活")+COUNTIF(N15:O15,"特活")+COUNTIF(N15:O15,"学活")+COUNTIF(B17:C17,"特活")+COUNTIF(B17:C17,"学活")+COUNTIF(E17:F17,"特活")+COUNTIF(E17:F17,"学活")+COUNTIF(H17:I17,"特活")+COUNTIF(H17:I17,"学活")+COUNTIF(K17:L17,"特活")+COUNTIF(K17:L17,"学活")+COUNTIF(N17:O17,"特活")+COUNTIF(N17:O17,"学活")=0,"",COUNTIF(B5:C5,"特活")+COUNTIF(B5:C5,"学活")+COUNTIF(E5:F5,"特活")+COUNTIF(E5:F5,"学活")+COUNTIF(H5:I5,"特活")+COUNTIF(H5:I5,"学活")+COUNTIF(K5:L5,"特活")+COUNTIF(K5:L5,"学活")+COUNTIF(N5:O5,"特活")+COUNTIF(N5:O5,"学活")+COUNTIF(B7:C7,"特活")+COUNTIF(B7:C7,"学活")+COUNTIF(E7:F7,"特活")+COUNTIF(E7:F7,"学活")+COUNTIF(H7:I7,"特活")+COUNTIF(H7:I7,"学活")+COUNTIF(K7:L7,"特活")+COUNTIF(K7:L7,"学活")+COUNTIF(N7:O7,"特活")+COUNTIF(N7:O7,"学活")+COUNTIF(B9:C9,"特活")+COUNTIF(B9:C9,"学活")+COUNTIF(E9:F9,"特活")+COUNTIF(E9:F9,"学活")+COUNTIF(H9:I9,"特活")+COUNTIF(H9:I9,"学活")+COUNTIF(K9:L9,"特活")+COUNTIF(K9:L9,"学活")+COUNTIF(N9:O9,"特活")+COUNTIF(N9:O9,"学活")+COUNTIF(B11:C11,"特活")+COUNTIF(B11:C11,"学活")+COUNTIF(E11:F11,"特活")+COUNTIF(E11:F11,"学活")+COUNTIF(H11:I11,"特活")+COUNTIF(H11:I11,"学活")+COUNTIF(K11:L11,"特活")+COUNTIF(K11:L11,"学活")+COUNTIF(N11:O11,"特活")+COUNTIF(N11:O11,"学活")+COUNTIF(B13:C13,"特活")+COUNTIF(B13:C13,"学活")+COUNTIF(E13:F13,"特活")+COUNTIF(E13:F13,"学活")+COUNTIF(H13:I13,"特活")+COUNTIF(H13:I13,"学活")+COUNTIF(K13:L13,"特活")+COUNTIF(K13:L13,"学活")+COUNTIF(N13:O13,"特活")+COUNTIF(N13:O13,"学活")+COUNTIF(B15:C15,"特活")+COUNTIF(B15:C15,"学活")+COUNTIF(E15:F15,"特活")+COUNTIF(E15:F15,"学活")+COUNTIF(H15:I15,"特活")+COUNTIF(H15:I15,"学活")+COUNTIF(K15:L15,"特活")+COUNTIF(K15:L15,"学活")+COUNTIF(N15:O15,"特活")+COUNTIF(N15:O15,"学活")+COUNTIF(B17:C17,"特活")+COUNTIF(B17:C17,"学活")+COUNTIF(E17:F17,"特活")+COUNTIF(E17:F17,"学活")+COUNTIF(H17:I17,"特活")+COUNTIF(H17:I17,"学活")+COUNTIF(K17:L17,"特活")+COUNTIF(K17:L17,"学活")+COUNTIF(N17:O17,"特活")+COUNTIF(N17:O17,"学活"))</f>
        <v>5</v>
      </c>
      <c r="N24" s="21" t="str">
        <f>IF(COUNTIF(B5:C5,N21)+COUNTIF(B5:C5,"*,"&amp;N21&amp;",*")+COUNTIF(E5:F5,N21)+COUNTIF(E5:F5,"*,"&amp;N21&amp;",*")+COUNTIF(H5:I5,N21)+COUNTIF(H5:I5,"*,"&amp;N21&amp;",*")+COUNTIF(K5:L5,N21)+COUNTIF(K5:L5,"*,"&amp;N21&amp;",*")+COUNTIF(N5:O5,N21)+COUNTIF(N5:O5,"*,"&amp;N21&amp;",*")+COUNTIF(B7:C7,N21)+COUNTIF(B7:C7,"*,"&amp;N21&amp;",*")+COUNTIF(E7:F7,N21)+COUNTIF(E7:F7,"*,"&amp;N21&amp;",*")+COUNTIF(H7:I7,N21)+COUNTIF(H7:I7,"*,"&amp;N21&amp;",*")+COUNTIF(K7:L7,N21)+COUNTIF(K7:L7,"*,"&amp;N21&amp;",*")+COUNTIF(N7:O7,N21)+COUNTIF(N7:O7,"*,"&amp;N21&amp;",*")+COUNTIF(B9:C9,N21)+COUNTIF(B9:C9,"*,"&amp;N21&amp;",*")+COUNTIF(E9:F9,N21)+COUNTIF(E9:F9,"*,"&amp;N21&amp;",*")+COUNTIF(H9:I9,N21)+COUNTIF(H9:I9,"*,"&amp;N21&amp;",*")+COUNTIF(K9:L9,N21)+COUNTIF(K9:L9,"*,"&amp;N21&amp;",*")+COUNTIF(N9:O9,N21)+COUNTIF(N9:O9,"*,"&amp;N21&amp;",*")+COUNTIF(B11:C11,N21)+COUNTIF(B11:C11,"*,"&amp;N21&amp;",*")+COUNTIF(E11:F11,N21)+COUNTIF(E11:F11,"*,"&amp;N21&amp;",*")+COUNTIF(H11:I11,N21)+COUNTIF(H11:I11,"*,"&amp;N21&amp;",*")+COUNTIF(K11:L11,N21)+COUNTIF(K11:L11,"*,"&amp;N21&amp;",*")+COUNTIF(N11:O11,N21)+COUNTIF(N11:O11,"*,"&amp;N21&amp;",*")+COUNTIF(B13:C13,N21)+COUNTIF(B13:C13,"*,"&amp;N21&amp;",*")+COUNTIF(E13:F13,N21)+COUNTIF(E13:F13,"*,"&amp;N21&amp;",*")+COUNTIF(H13:I13,N21)+COUNTIF(H13:I13,"*,"&amp;N21&amp;",*")+COUNTIF(K13:L13,N21)+COUNTIF(K13:L13,"*,"&amp;N21&amp;",*")+COUNTIF(N13:O13,N21)+COUNTIF(N13:O13,"*,"&amp;N21&amp;",*")+COUNTIF(B15:C15,N21)+COUNTIF(B15:C15,"*,"&amp;N21&amp;",*")+COUNTIF(E15:F15,N21)+COUNTIF(E15:F15,"*,"&amp;N21&amp;",*")+COUNTIF(H15:I15,N21)+COUNTIF(H15:I15,"*,"&amp;N21&amp;",*")+COUNTIF(K15:L15,N21)+COUNTIF(K15:L15,"*,"&amp;N21&amp;",*")+COUNTIF(N15:O15,N21)+COUNTIF(N15:O15,"*,"&amp;N21&amp;",*")+COUNTIF(B17:C17,N21)+COUNTIF(B17:C17,"*,"&amp;N21&amp;",*")+COUNTIF(E17:F17,N21)+COUNTIF(E17:F17,"*,"&amp;N21&amp;",*")+COUNTIF(H17:I17,N21)+COUNTIF(H17:I17,"*,"&amp;N21&amp;",*")+COUNTIF(K17:L17,N21)+COUNTIF(K17:L17,"*,"&amp;N21&amp;",*")+COUNTIF(N17:O17,N21)+COUNTIF(N17:O17,"*,"&amp;N21&amp;",*")=0,"",COUNTIF(B5:C5,N21)+COUNTIF(B5:C5,"*,"&amp;N21&amp;",*")+COUNTIF(E5:F5,N21)+COUNTIF(E5:F5,"*,"&amp;N21&amp;",*")+COUNTIF(H5:I5,N21)+COUNTIF(H5:I5,"*,"&amp;N21&amp;",*")+COUNTIF(K5:L5,N21)+COUNTIF(K5:L5,"*,"&amp;N21&amp;",*")+COUNTIF(N5:O5,N21)+COUNTIF(N5:O5,"*,"&amp;N21&amp;",*")+COUNTIF(B7:C7,N21)+COUNTIF(B7:C7,"*,"&amp;N21&amp;",*")+COUNTIF(E7:F7,N21)+COUNTIF(E7:F7,"*,"&amp;N21&amp;",*")+COUNTIF(H7:I7,N21)+COUNTIF(H7:I7,"*,"&amp;N21&amp;",*")+COUNTIF(K7:L7,N21)+COUNTIF(K7:L7,"*,"&amp;N21&amp;",*")+COUNTIF(N7:O7,N21)+COUNTIF(N7:O7,"*,"&amp;N21&amp;",*")+COUNTIF(B9:C9,N21)+COUNTIF(B9:C9,"*,"&amp;N21&amp;",*")+COUNTIF(E9:F9,N21)+COUNTIF(E9:F9,"*,"&amp;N21&amp;",*")+COUNTIF(H9:I9,N21)+COUNTIF(H9:I9,"*,"&amp;N21&amp;",*")+COUNTIF(K9:L9,N21)+COUNTIF(K9:L9,"*,"&amp;N21&amp;",*")+COUNTIF(N9:O9,N21)+COUNTIF(N9:O9,"*,"&amp;N21&amp;",*")+COUNTIF(B11:C11,N21)+COUNTIF(B11:C11,"*,"&amp;N21&amp;",*")+COUNTIF(E11:F11,N21)+COUNTIF(E11:F11,"*,"&amp;N21&amp;",*")+COUNTIF(H11:I11,N21)+COUNTIF(H11:I11,"*,"&amp;N21&amp;",*")+COUNTIF(K11:L11,N21)+COUNTIF(K11:L11,"*,"&amp;N21&amp;",*")+COUNTIF(N11:O11,N21)+COUNTIF(N11:O11,"*,"&amp;N21&amp;",*")+COUNTIF(B13:C13,N21)+COUNTIF(B13:C13,"*,"&amp;N21&amp;",*")+COUNTIF(E13:F13,N21)+COUNTIF(E13:F13,"*,"&amp;N21&amp;",*")+COUNTIF(H13:I13,N21)+COUNTIF(H13:I13,"*,"&amp;N21&amp;",*")+COUNTIF(K13:L13,N21)+COUNTIF(K13:L13,"*,"&amp;N21&amp;",*")+COUNTIF(N13:O13,N21)+COUNTIF(N13:O13,"*,"&amp;N21&amp;",*")+COUNTIF(B15:C15,N21)+COUNTIF(B15:C15,"*,"&amp;N21&amp;",*")+COUNTIF(E15:F15,N21)+COUNTIF(E15:F15,"*,"&amp;N21&amp;",*")+COUNTIF(H15:I15,N21)+COUNTIF(H15:I15,"*,"&amp;N21&amp;",*")+COUNTIF(K15:L15,N21)+COUNTIF(K15:L15,"*,"&amp;N21&amp;",*")+COUNTIF(N15:O15,N21)+COUNTIF(N15:O15,"*,"&amp;N21&amp;",*")+COUNTIF(B17:C17,N21)+COUNTIF(B17:C17,"*,"&amp;N21&amp;",*")+COUNTIF(E17:F17,N21)+COUNTIF(E17:F17,"*,"&amp;N21&amp;",*")+COUNTIF(H17:I17,N21)+COUNTIF(H17:I17,"*,"&amp;N21&amp;",*")+COUNTIF(K17:L17,N21)+COUNTIF(K17:L17,"*,"&amp;N21&amp;",*")+COUNTIF(N17:O17,N21)+COUNTIF(N17:O17,"*,"&amp;N21&amp;",*"))</f>
        <v/>
      </c>
      <c r="O24" s="21">
        <f>IF(COUNTIF(B5:C5,O21)+COUNTIF(B5:C5,"*,"&amp;O21&amp;",*")+COUNTIF(E5:F5,O21)+COUNTIF(E5:F5,"*,"&amp;O21&amp;",*")+COUNTIF(H5:I5,O21)+COUNTIF(H5:I5,"*,"&amp;O21&amp;",*")+COUNTIF(K5:L5,O21)+COUNTIF(K5:L5,"*,"&amp;O21&amp;",*")+COUNTIF(N5:O5,O21)+COUNTIF(N5:O5,"*,"&amp;O21&amp;",*")+COUNTIF(B7:C7,O21)+COUNTIF(B7:C7,"*,"&amp;O21&amp;",*")+COUNTIF(E7:F7,O21)+COUNTIF(E7:F7,"*,"&amp;O21&amp;",*")+COUNTIF(H7:I7,O21)+COUNTIF(H7:I7,"*,"&amp;O21&amp;",*")+COUNTIF(K7:L7,O21)+COUNTIF(K7:L7,"*,"&amp;O21&amp;",*")+COUNTIF(N7:O7,O21)+COUNTIF(N7:O7,"*,"&amp;O21&amp;",*")+COUNTIF(B9:C9,O21)+COUNTIF(B9:C9,"*,"&amp;O21&amp;",*")+COUNTIF(E9:F9,O21)+COUNTIF(E9:F9,"*,"&amp;O21&amp;",*")+COUNTIF(H9:I9,O21)+COUNTIF(H9:I9,"*,"&amp;O21&amp;",*")+COUNTIF(K9:L9,O21)+COUNTIF(K9:L9,"*,"&amp;O21&amp;",*")+COUNTIF(N9:O9,O21)+COUNTIF(N9:O9,"*,"&amp;O21&amp;",*")+COUNTIF(B11:C11,O21)+COUNTIF(B11:C11,"*,"&amp;O21&amp;",*")+COUNTIF(E11:F11,O21)+COUNTIF(E11:F11,"*,"&amp;O21&amp;",*")+COUNTIF(H11:I11,O21)+COUNTIF(H11:I11,"*,"&amp;O21&amp;",*")+COUNTIF(K11:L11,O21)+COUNTIF(K11:L11,"*,"&amp;O21&amp;",*")+COUNTIF(N11:O11,O21)+COUNTIF(N11:O11,"*,"&amp;O21&amp;",*")+COUNTIF(B13:C13,O21)+COUNTIF(B13:C13,"*,"&amp;O21&amp;",*")+COUNTIF(E13:F13,O21)+COUNTIF(E13:F13,"*,"&amp;O21&amp;",*")+COUNTIF(H13:I13,O21)+COUNTIF(H13:I13,"*,"&amp;O21&amp;",*")+COUNTIF(K13:L13,O21)+COUNTIF(K13:L13,"*,"&amp;O21&amp;",*")+COUNTIF(N13:O13,O21)+COUNTIF(N13:O13,"*,"&amp;O21&amp;",*")+COUNTIF(B15:C15,O21)+COUNTIF(B15:C15,"*,"&amp;O21&amp;",*")+COUNTIF(E15:F15,O21)+COUNTIF(E15:F15,"*,"&amp;O21&amp;",*")+COUNTIF(H15:I15,O21)+COUNTIF(H15:I15,"*,"&amp;O21&amp;",*")+COUNTIF(K15:L15,O21)+COUNTIF(K15:L15,"*,"&amp;O21&amp;",*")+COUNTIF(N15:O15,O21)+COUNTIF(N15:O15,"*,"&amp;O21&amp;",*")+COUNTIF(B17:C17,O21)+COUNTIF(B17:C17,"*,"&amp;O21&amp;",*")+COUNTIF(E17:F17,O21)+COUNTIF(E17:F17,"*,"&amp;O21&amp;",*")+COUNTIF(H17:I17,O21)+COUNTIF(H17:I17,"*,"&amp;O21&amp;",*")+COUNTIF(K17:L17,O21)+COUNTIF(K17:L17,"*,"&amp;O21&amp;",*")+COUNTIF(N17:O17,O21)+COUNTIF(N17:O17,"*,"&amp;O21&amp;",*")=0,"",COUNTIF(B5:C5,O21)+COUNTIF(B5:C5,"*,"&amp;O21&amp;",*")+COUNTIF(E5:F5,O21)+COUNTIF(E5:F5,"*,"&amp;O21&amp;",*")+COUNTIF(H5:I5,O21)+COUNTIF(H5:I5,"*,"&amp;O21&amp;",*")+COUNTIF(K5:L5,O21)+COUNTIF(K5:L5,"*,"&amp;O21&amp;",*")+COUNTIF(N5:O5,O21)+COUNTIF(N5:O5,"*,"&amp;O21&amp;",*")+COUNTIF(B7:C7,O21)+COUNTIF(B7:C7,"*,"&amp;O21&amp;",*")+COUNTIF(E7:F7,O21)+COUNTIF(E7:F7,"*,"&amp;O21&amp;",*")+COUNTIF(H7:I7,O21)+COUNTIF(H7:I7,"*,"&amp;O21&amp;",*")+COUNTIF(K7:L7,O21)+COUNTIF(K7:L7,"*,"&amp;O21&amp;",*")+COUNTIF(N7:O7,O21)+COUNTIF(N7:O7,"*,"&amp;O21&amp;",*")+COUNTIF(B9:C9,O21)+COUNTIF(B9:C9,"*,"&amp;O21&amp;",*")+COUNTIF(E9:F9,O21)+COUNTIF(E9:F9,"*,"&amp;O21&amp;",*")+COUNTIF(H9:I9,O21)+COUNTIF(H9:I9,"*,"&amp;O21&amp;",*")+COUNTIF(K9:L9,O21)+COUNTIF(K9:L9,"*,"&amp;O21&amp;",*")+COUNTIF(N9:O9,O21)+COUNTIF(N9:O9,"*,"&amp;O21&amp;",*")+COUNTIF(B11:C11,O21)+COUNTIF(B11:C11,"*,"&amp;O21&amp;",*")+COUNTIF(E11:F11,O21)+COUNTIF(E11:F11,"*,"&amp;O21&amp;",*")+COUNTIF(H11:I11,O21)+COUNTIF(H11:I11,"*,"&amp;O21&amp;",*")+COUNTIF(K11:L11,O21)+COUNTIF(K11:L11,"*,"&amp;O21&amp;",*")+COUNTIF(N11:O11,O21)+COUNTIF(N11:O11,"*,"&amp;O21&amp;",*")+COUNTIF(B13:C13,O21)+COUNTIF(B13:C13,"*,"&amp;O21&amp;",*")+COUNTIF(E13:F13,O21)+COUNTIF(E13:F13,"*,"&amp;O21&amp;",*")+COUNTIF(H13:I13,O21)+COUNTIF(H13:I13,"*,"&amp;O21&amp;",*")+COUNTIF(K13:L13,O21)+COUNTIF(K13:L13,"*,"&amp;O21&amp;",*")+COUNTIF(N13:O13,O21)+COUNTIF(N13:O13,"*,"&amp;O21&amp;",*")+COUNTIF(B15:C15,O21)+COUNTIF(B15:C15,"*,"&amp;O21&amp;",*")+COUNTIF(E15:F15,O21)+COUNTIF(E15:F15,"*,"&amp;O21&amp;",*")+COUNTIF(H15:I15,O21)+COUNTIF(H15:I15,"*,"&amp;O21&amp;",*")+COUNTIF(K15:L15,O21)+COUNTIF(K15:L15,"*,"&amp;O21&amp;",*")+COUNTIF(N15:O15,O21)+COUNTIF(N15:O15,"*,"&amp;O21&amp;",*")+COUNTIF(B17:C17,O21)+COUNTIF(B17:C17,"*,"&amp;O21&amp;",*")+COUNTIF(E17:F17,O21)+COUNTIF(E17:F17,"*,"&amp;O21&amp;",*")+COUNTIF(H17:I17,O21)+COUNTIF(H17:I17,"*,"&amp;O21&amp;",*")+COUNTIF(K17:L17,O21)+COUNTIF(K17:L17,"*,"&amp;O21&amp;",*")+COUNTIF(N17:O17,O21)+COUNTIF(N17:O17,"*,"&amp;O21&amp;",*"))</f>
        <v>3</v>
      </c>
      <c r="P24" s="22">
        <f>IF(SUM(B24:O24)=0,"",SUM(B24:O24))</f>
        <v>20</v>
      </c>
    </row>
    <row r="25" spans="1:16" ht="13.5" customHeight="1" x14ac:dyDescent="0.2">
      <c r="A25" s="23" t="s">
        <v>63</v>
      </c>
      <c r="B25" s="26">
        <v>3</v>
      </c>
      <c r="C25" s="26">
        <v>3</v>
      </c>
      <c r="D25" s="26">
        <v>4</v>
      </c>
      <c r="E25" s="26">
        <v>1</v>
      </c>
      <c r="F25" s="26"/>
      <c r="G25" s="26">
        <v>1</v>
      </c>
      <c r="H25" s="26"/>
      <c r="I25" s="26"/>
      <c r="J25" s="26"/>
      <c r="K25" s="26"/>
      <c r="L25" s="26"/>
      <c r="M25" s="26">
        <v>19</v>
      </c>
      <c r="N25" s="26"/>
      <c r="O25" s="24">
        <v>3</v>
      </c>
      <c r="P25" s="18">
        <f>IF(SUM(B25:O25)=0,"",SUM(B25:O25))</f>
        <v>34</v>
      </c>
    </row>
  </sheetData>
  <sheetProtection sheet="1" objects="1" scenarios="1"/>
  <mergeCells count="104">
    <mergeCell ref="N19:P19"/>
    <mergeCell ref="A23:A24"/>
    <mergeCell ref="N17:O17"/>
    <mergeCell ref="B18:D18"/>
    <mergeCell ref="E18:G18"/>
    <mergeCell ref="H18:J18"/>
    <mergeCell ref="K18:M18"/>
    <mergeCell ref="N18:P18"/>
    <mergeCell ref="A17:A18"/>
    <mergeCell ref="B17:C17"/>
    <mergeCell ref="E17:F17"/>
    <mergeCell ref="H17:I17"/>
    <mergeCell ref="K17:L17"/>
    <mergeCell ref="B19:D19"/>
    <mergeCell ref="E19:G19"/>
    <mergeCell ref="H19:J19"/>
    <mergeCell ref="K19:M19"/>
    <mergeCell ref="A15:A16"/>
    <mergeCell ref="B15:C15"/>
    <mergeCell ref="E15:F15"/>
    <mergeCell ref="H15:I15"/>
    <mergeCell ref="K15:L15"/>
    <mergeCell ref="N15:O15"/>
    <mergeCell ref="B16:D16"/>
    <mergeCell ref="E16:G16"/>
    <mergeCell ref="H16:J16"/>
    <mergeCell ref="K16:M16"/>
    <mergeCell ref="N16:P16"/>
    <mergeCell ref="A13:A14"/>
    <mergeCell ref="B13:C13"/>
    <mergeCell ref="E13:F13"/>
    <mergeCell ref="H13:I13"/>
    <mergeCell ref="K13:L13"/>
    <mergeCell ref="N13:O13"/>
    <mergeCell ref="B14:D14"/>
    <mergeCell ref="E14:G14"/>
    <mergeCell ref="H14:J14"/>
    <mergeCell ref="K14:M14"/>
    <mergeCell ref="N14:P14"/>
    <mergeCell ref="A11:A12"/>
    <mergeCell ref="B11:C11"/>
    <mergeCell ref="E11:F11"/>
    <mergeCell ref="H11:I11"/>
    <mergeCell ref="K11:L11"/>
    <mergeCell ref="N11:O11"/>
    <mergeCell ref="B12:D12"/>
    <mergeCell ref="E12:G12"/>
    <mergeCell ref="H12:J12"/>
    <mergeCell ref="K12:M12"/>
    <mergeCell ref="N12:P12"/>
    <mergeCell ref="N8:P8"/>
    <mergeCell ref="A9:A10"/>
    <mergeCell ref="B9:C9"/>
    <mergeCell ref="E9:F9"/>
    <mergeCell ref="H9:I9"/>
    <mergeCell ref="K9:L9"/>
    <mergeCell ref="N9:O9"/>
    <mergeCell ref="B10:D10"/>
    <mergeCell ref="E10:G10"/>
    <mergeCell ref="H10:J10"/>
    <mergeCell ref="A7:A8"/>
    <mergeCell ref="B7:C7"/>
    <mergeCell ref="E7:F7"/>
    <mergeCell ref="H7:I7"/>
    <mergeCell ref="K7:L7"/>
    <mergeCell ref="N7:O7"/>
    <mergeCell ref="B8:D8"/>
    <mergeCell ref="E8:G8"/>
    <mergeCell ref="H8:J8"/>
    <mergeCell ref="K8:M8"/>
    <mergeCell ref="K10:M10"/>
    <mergeCell ref="N10:P10"/>
    <mergeCell ref="A5:A6"/>
    <mergeCell ref="B5:C5"/>
    <mergeCell ref="E5:F5"/>
    <mergeCell ref="H5:I5"/>
    <mergeCell ref="K5:L5"/>
    <mergeCell ref="N2:P2"/>
    <mergeCell ref="B3:D3"/>
    <mergeCell ref="E3:G3"/>
    <mergeCell ref="H3:J3"/>
    <mergeCell ref="K3:M3"/>
    <mergeCell ref="N3:P3"/>
    <mergeCell ref="N5:O5"/>
    <mergeCell ref="B6:D6"/>
    <mergeCell ref="E6:G6"/>
    <mergeCell ref="H6:J6"/>
    <mergeCell ref="K6:M6"/>
    <mergeCell ref="N6:P6"/>
    <mergeCell ref="B4:D4"/>
    <mergeCell ref="E4:G4"/>
    <mergeCell ref="H4:J4"/>
    <mergeCell ref="K4:M4"/>
    <mergeCell ref="N4:P4"/>
    <mergeCell ref="A1:G1"/>
    <mergeCell ref="I1:J1"/>
    <mergeCell ref="K1:L1"/>
    <mergeCell ref="M1:N1"/>
    <mergeCell ref="O1:P1"/>
    <mergeCell ref="A2:A3"/>
    <mergeCell ref="B2:D2"/>
    <mergeCell ref="E2:G2"/>
    <mergeCell ref="H2:J2"/>
    <mergeCell ref="K2:M2"/>
  </mergeCells>
  <phoneticPr fontId="5"/>
  <dataValidations count="1">
    <dataValidation type="list" allowBlank="1" showInputMessage="1" sqref="D5 P17 M17 J17 G17 D17 P15 M15 J15 G15 D15 P13 M13 J13 G13 D13 P11 M11 J11 G11 D11 P9 M9 J9 G9 D9 P7 M7 J7 G7 D7 P5 M5 J5 G5" xr:uid="{F65D9139-6DDA-424B-8FDF-4DB670564AC3}">
      <formula1>"×,月1,月2,月3,月4,月5,月6,月7,火1,火2,火3,火4,火5,火6,火7,水1,水2,水3,水4,水5,水6,水7,木1,木2,木3,木4,木5,木6,木7,金1,金2,金3,金4,金5,金6,金7"</formula1>
    </dataValidation>
  </dataValidations>
  <printOptions horizontalCentered="1"/>
  <pageMargins left="0.78740157480314965" right="0.78740157480314965" top="0.78740157480314965" bottom="0.78740157480314965" header="0" footer="0"/>
  <pageSetup paperSize="9" scale="93"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tn_0">
              <controlPr defaultSize="0" print="0" autoFill="0" autoPict="0" macro="[0]!ボタン_新しい週">
                <anchor moveWithCells="1" sizeWithCells="1">
                  <from>
                    <xdr:col>17</xdr:col>
                    <xdr:colOff>69850</xdr:colOff>
                    <xdr:row>3</xdr:row>
                    <xdr:rowOff>50800</xdr:rowOff>
                  </from>
                  <to>
                    <xdr:col>18</xdr:col>
                    <xdr:colOff>603250</xdr:colOff>
                    <xdr:row>3</xdr:row>
                    <xdr:rowOff>355600</xdr:rowOff>
                  </to>
                </anchor>
              </controlPr>
            </control>
          </mc:Choice>
        </mc:AlternateContent>
        <mc:AlternateContent xmlns:mc="http://schemas.openxmlformats.org/markup-compatibility/2006">
          <mc:Choice Requires="x14">
            <control shapeId="4098" r:id="rId5" name="Btn_1">
              <controlPr defaultSize="0" print="0" autoFill="0" autoPict="0" macro="[0]!ボタン_時間割展開">
                <anchor moveWithCells="1" sizeWithCells="1">
                  <from>
                    <xdr:col>17</xdr:col>
                    <xdr:colOff>69850</xdr:colOff>
                    <xdr:row>3</xdr:row>
                    <xdr:rowOff>450850</xdr:rowOff>
                  </from>
                  <to>
                    <xdr:col>18</xdr:col>
                    <xdr:colOff>603250</xdr:colOff>
                    <xdr:row>4</xdr:row>
                    <xdr:rowOff>57150</xdr:rowOff>
                  </to>
                </anchor>
              </controlPr>
            </control>
          </mc:Choice>
        </mc:AlternateContent>
        <mc:AlternateContent xmlns:mc="http://schemas.openxmlformats.org/markup-compatibility/2006">
          <mc:Choice Requires="x14">
            <control shapeId="4099" r:id="rId6" name="Btn_2">
              <controlPr defaultSize="0" print="0" autoFill="0" autoPict="0" macro="[0]!ボタン_累計更新">
                <anchor moveWithCells="1" sizeWithCells="1">
                  <from>
                    <xdr:col>17</xdr:col>
                    <xdr:colOff>69850</xdr:colOff>
                    <xdr:row>4</xdr:row>
                    <xdr:rowOff>165100</xdr:rowOff>
                  </from>
                  <to>
                    <xdr:col>18</xdr:col>
                    <xdr:colOff>603250</xdr:colOff>
                    <xdr:row>5</xdr:row>
                    <xdr:rowOff>241300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xr:uid="{93967845-87A5-4AF7-9597-BCF6AD14B4AE}">
          <x14:formula1>
            <xm:f>基本設定!$B$6:$B$20</xm:f>
          </x14:formula1>
          <xm:sqref>N19 K19 H19 E19 B19 N17 K17 H17 E17 B17 N15 K15 H15 E15 B15 N13 K13 H13 E13 B13 N11 K11 H11 E11 B11 N9 K9 H9 E9 B9 N7 K7 H7 E7 B7 N5 K5 H5 E5 B5</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9970F8-8D44-4994-87F7-9BF8439AD105}">
  <sheetPr>
    <tabColor rgb="FFC0392B"/>
    <pageSetUpPr fitToPage="1"/>
  </sheetPr>
  <dimension ref="A1:P25"/>
  <sheetViews>
    <sheetView tabSelected="1" workbookViewId="0">
      <selection activeCell="R14" sqref="R14"/>
    </sheetView>
  </sheetViews>
  <sheetFormatPr defaultColWidth="8.7265625" defaultRowHeight="13" x14ac:dyDescent="0.2"/>
  <cols>
    <col min="1" max="1" width="5.453125" customWidth="1"/>
    <col min="2" max="16" width="5.7265625" customWidth="1"/>
  </cols>
  <sheetData>
    <row r="1" spans="1:16" ht="50.15" customHeight="1" x14ac:dyDescent="0.2">
      <c r="A1" s="49" t="s">
        <v>114</v>
      </c>
      <c r="B1" s="50"/>
      <c r="C1" s="50"/>
      <c r="D1" s="50"/>
      <c r="E1" s="50"/>
      <c r="F1" s="50"/>
      <c r="G1" s="50"/>
      <c r="H1" s="8" t="s">
        <v>46</v>
      </c>
      <c r="I1" s="51" t="s">
        <v>47</v>
      </c>
      <c r="J1" s="52"/>
      <c r="K1" s="51" t="s">
        <v>48</v>
      </c>
      <c r="L1" s="52"/>
      <c r="M1" s="51" t="s">
        <v>49</v>
      </c>
      <c r="N1" s="52"/>
      <c r="O1" s="51" t="s">
        <v>50</v>
      </c>
      <c r="P1" s="52"/>
    </row>
    <row r="2" spans="1:16" ht="15.65" customHeight="1" x14ac:dyDescent="0.2">
      <c r="A2" s="53" t="s">
        <v>51</v>
      </c>
      <c r="B2" s="55" t="s">
        <v>40</v>
      </c>
      <c r="C2" s="55"/>
      <c r="D2" s="55"/>
      <c r="E2" s="56" t="s">
        <v>41</v>
      </c>
      <c r="F2" s="56"/>
      <c r="G2" s="56"/>
      <c r="H2" s="57" t="s">
        <v>42</v>
      </c>
      <c r="I2" s="57"/>
      <c r="J2" s="57"/>
      <c r="K2" s="58" t="s">
        <v>43</v>
      </c>
      <c r="L2" s="58"/>
      <c r="M2" s="58"/>
      <c r="N2" s="38" t="s">
        <v>44</v>
      </c>
      <c r="O2" s="38"/>
      <c r="P2" s="38"/>
    </row>
    <row r="3" spans="1:16" ht="15" customHeight="1" x14ac:dyDescent="0.2">
      <c r="A3" s="54"/>
      <c r="B3" s="39" t="s">
        <v>115</v>
      </c>
      <c r="C3" s="39"/>
      <c r="D3" s="39"/>
      <c r="E3" s="40" t="s">
        <v>116</v>
      </c>
      <c r="F3" s="40"/>
      <c r="G3" s="40"/>
      <c r="H3" s="41" t="s">
        <v>117</v>
      </c>
      <c r="I3" s="41"/>
      <c r="J3" s="41"/>
      <c r="K3" s="42" t="s">
        <v>118</v>
      </c>
      <c r="L3" s="42"/>
      <c r="M3" s="42"/>
      <c r="N3" s="43" t="s">
        <v>119</v>
      </c>
      <c r="O3" s="43"/>
      <c r="P3" s="43"/>
    </row>
    <row r="4" spans="1:16" ht="55" customHeight="1" x14ac:dyDescent="0.2">
      <c r="A4" s="9" t="s">
        <v>57</v>
      </c>
      <c r="B4" s="44"/>
      <c r="C4" s="44"/>
      <c r="D4" s="44"/>
      <c r="E4" s="45"/>
      <c r="F4" s="45"/>
      <c r="G4" s="45"/>
      <c r="H4" s="46"/>
      <c r="I4" s="46"/>
      <c r="J4" s="46"/>
      <c r="K4" s="47"/>
      <c r="L4" s="47"/>
      <c r="M4" s="47"/>
      <c r="N4" s="48"/>
      <c r="O4" s="48"/>
      <c r="P4" s="48"/>
    </row>
    <row r="5" spans="1:16" ht="18" customHeight="1" x14ac:dyDescent="0.2">
      <c r="A5" s="37">
        <v>1</v>
      </c>
      <c r="B5" s="35" t="s">
        <v>33</v>
      </c>
      <c r="C5" s="35"/>
      <c r="D5" s="25"/>
      <c r="E5" s="35" t="s">
        <v>71</v>
      </c>
      <c r="F5" s="35"/>
      <c r="G5" s="25"/>
      <c r="H5" s="35" t="s">
        <v>33</v>
      </c>
      <c r="I5" s="35"/>
      <c r="J5" s="25"/>
      <c r="K5" s="35" t="s">
        <v>124</v>
      </c>
      <c r="L5" s="35"/>
      <c r="M5" s="25"/>
      <c r="N5" s="35" t="s">
        <v>33</v>
      </c>
      <c r="O5" s="35"/>
      <c r="P5" s="25"/>
    </row>
    <row r="6" spans="1:16" ht="62.15" customHeight="1" x14ac:dyDescent="0.2">
      <c r="A6" s="37"/>
      <c r="B6" s="36" t="s">
        <v>125</v>
      </c>
      <c r="C6" s="36"/>
      <c r="D6" s="36"/>
      <c r="E6" s="36"/>
      <c r="F6" s="36"/>
      <c r="G6" s="36"/>
      <c r="H6" s="36" t="s">
        <v>126</v>
      </c>
      <c r="I6" s="36"/>
      <c r="J6" s="36"/>
      <c r="K6" s="36" t="s">
        <v>123</v>
      </c>
      <c r="L6" s="36"/>
      <c r="M6" s="36"/>
      <c r="N6" s="36" t="s">
        <v>133</v>
      </c>
      <c r="O6" s="36"/>
      <c r="P6" s="36"/>
    </row>
    <row r="7" spans="1:16" ht="18" customHeight="1" x14ac:dyDescent="0.2">
      <c r="A7" s="37">
        <v>2</v>
      </c>
      <c r="B7" s="35" t="s">
        <v>36</v>
      </c>
      <c r="C7" s="35"/>
      <c r="D7" s="25"/>
      <c r="E7" s="35" t="s">
        <v>124</v>
      </c>
      <c r="F7" s="35"/>
      <c r="G7" s="25"/>
      <c r="H7" s="35" t="s">
        <v>71</v>
      </c>
      <c r="I7" s="35"/>
      <c r="J7" s="25"/>
      <c r="K7" s="35" t="s">
        <v>71</v>
      </c>
      <c r="L7" s="35"/>
      <c r="M7" s="25"/>
      <c r="N7" s="35" t="s">
        <v>32</v>
      </c>
      <c r="O7" s="35"/>
      <c r="P7" s="25"/>
    </row>
    <row r="8" spans="1:16" ht="62.15" customHeight="1" x14ac:dyDescent="0.2">
      <c r="A8" s="37"/>
      <c r="B8" s="36"/>
      <c r="C8" s="36"/>
      <c r="D8" s="36"/>
      <c r="E8" s="36" t="s">
        <v>122</v>
      </c>
      <c r="F8" s="36"/>
      <c r="G8" s="36"/>
      <c r="H8" s="36"/>
      <c r="I8" s="36"/>
      <c r="J8" s="36"/>
      <c r="K8" s="36"/>
      <c r="L8" s="36"/>
      <c r="M8" s="36"/>
      <c r="N8" s="36" t="s">
        <v>134</v>
      </c>
      <c r="O8" s="36"/>
      <c r="P8" s="36"/>
    </row>
    <row r="9" spans="1:16" ht="18" customHeight="1" x14ac:dyDescent="0.2">
      <c r="A9" s="37">
        <v>3</v>
      </c>
      <c r="B9" s="35" t="s">
        <v>71</v>
      </c>
      <c r="C9" s="35"/>
      <c r="D9" s="25"/>
      <c r="E9" s="35" t="s">
        <v>71</v>
      </c>
      <c r="F9" s="35"/>
      <c r="G9" s="25"/>
      <c r="H9" s="35" t="s">
        <v>71</v>
      </c>
      <c r="I9" s="35"/>
      <c r="J9" s="25"/>
      <c r="K9" s="35" t="s">
        <v>121</v>
      </c>
      <c r="L9" s="35"/>
      <c r="M9" s="25"/>
      <c r="N9" s="35" t="s">
        <v>37</v>
      </c>
      <c r="O9" s="35"/>
      <c r="P9" s="25"/>
    </row>
    <row r="10" spans="1:16" ht="62.15" customHeight="1" x14ac:dyDescent="0.2">
      <c r="A10" s="37"/>
      <c r="B10" s="36"/>
      <c r="C10" s="36"/>
      <c r="D10" s="36"/>
      <c r="E10" s="36"/>
      <c r="F10" s="36"/>
      <c r="G10" s="36"/>
      <c r="H10" s="36"/>
      <c r="I10" s="36"/>
      <c r="J10" s="36"/>
      <c r="K10" s="36"/>
      <c r="L10" s="36"/>
      <c r="M10" s="36"/>
      <c r="N10" s="36"/>
      <c r="O10" s="36"/>
      <c r="P10" s="36"/>
    </row>
    <row r="11" spans="1:16" ht="18" customHeight="1" x14ac:dyDescent="0.2">
      <c r="A11" s="37">
        <v>4</v>
      </c>
      <c r="B11" s="35" t="s">
        <v>32</v>
      </c>
      <c r="C11" s="35"/>
      <c r="D11" s="25"/>
      <c r="E11" s="35" t="s">
        <v>32</v>
      </c>
      <c r="F11" s="35"/>
      <c r="G11" s="25"/>
      <c r="H11" s="35" t="s">
        <v>34</v>
      </c>
      <c r="I11" s="35"/>
      <c r="J11" s="25"/>
      <c r="K11" s="35" t="s">
        <v>33</v>
      </c>
      <c r="L11" s="35"/>
      <c r="M11" s="25"/>
      <c r="N11" s="35" t="s">
        <v>71</v>
      </c>
      <c r="O11" s="35"/>
      <c r="P11" s="25"/>
    </row>
    <row r="12" spans="1:16" ht="62.15" customHeight="1" x14ac:dyDescent="0.2">
      <c r="A12" s="37"/>
      <c r="B12" s="36" t="s">
        <v>125</v>
      </c>
      <c r="C12" s="36"/>
      <c r="D12" s="36"/>
      <c r="E12" s="36" t="s">
        <v>126</v>
      </c>
      <c r="F12" s="36"/>
      <c r="G12" s="36"/>
      <c r="H12" s="36" t="s">
        <v>129</v>
      </c>
      <c r="I12" s="36"/>
      <c r="J12" s="36"/>
      <c r="K12" s="36" t="s">
        <v>132</v>
      </c>
      <c r="L12" s="36"/>
      <c r="M12" s="36"/>
      <c r="N12" s="36"/>
      <c r="O12" s="36"/>
      <c r="P12" s="36"/>
    </row>
    <row r="13" spans="1:16" ht="18" customHeight="1" x14ac:dyDescent="0.2">
      <c r="A13" s="37">
        <v>5</v>
      </c>
      <c r="B13" s="35" t="s">
        <v>71</v>
      </c>
      <c r="C13" s="35"/>
      <c r="D13" s="25"/>
      <c r="E13" s="35" t="s">
        <v>25</v>
      </c>
      <c r="F13" s="35"/>
      <c r="G13" s="25"/>
      <c r="H13" s="35" t="s">
        <v>71</v>
      </c>
      <c r="I13" s="35"/>
      <c r="J13" s="25"/>
      <c r="K13" s="35" t="s">
        <v>27</v>
      </c>
      <c r="L13" s="35"/>
      <c r="M13" s="25"/>
      <c r="N13" s="35" t="s">
        <v>100</v>
      </c>
      <c r="O13" s="35"/>
      <c r="P13" s="25"/>
    </row>
    <row r="14" spans="1:16" ht="62.15" customHeight="1" x14ac:dyDescent="0.2">
      <c r="A14" s="37"/>
      <c r="B14" s="36"/>
      <c r="C14" s="36"/>
      <c r="D14" s="36"/>
      <c r="E14" s="36" t="s">
        <v>127</v>
      </c>
      <c r="F14" s="36"/>
      <c r="G14" s="36"/>
      <c r="H14" s="36"/>
      <c r="I14" s="36"/>
      <c r="J14" s="36"/>
      <c r="K14" s="36" t="s">
        <v>135</v>
      </c>
      <c r="L14" s="36"/>
      <c r="M14" s="36"/>
      <c r="N14" s="36" t="s">
        <v>130</v>
      </c>
      <c r="O14" s="36"/>
      <c r="P14" s="36"/>
    </row>
    <row r="15" spans="1:16" ht="18" customHeight="1" x14ac:dyDescent="0.2">
      <c r="A15" s="37">
        <v>6</v>
      </c>
      <c r="B15" s="35" t="s">
        <v>128</v>
      </c>
      <c r="C15" s="35"/>
      <c r="D15" s="25"/>
      <c r="E15" s="35"/>
      <c r="F15" s="35"/>
      <c r="G15" s="25"/>
      <c r="H15" s="35" t="s">
        <v>32</v>
      </c>
      <c r="I15" s="35"/>
      <c r="J15" s="25"/>
      <c r="K15" s="35" t="s">
        <v>71</v>
      </c>
      <c r="L15" s="35"/>
      <c r="M15" s="25"/>
      <c r="N15" s="35"/>
      <c r="O15" s="35"/>
      <c r="P15" s="25"/>
    </row>
    <row r="16" spans="1:16" ht="62.15" customHeight="1" x14ac:dyDescent="0.2">
      <c r="A16" s="37"/>
      <c r="B16" s="36" t="s">
        <v>128</v>
      </c>
      <c r="C16" s="36"/>
      <c r="D16" s="36"/>
      <c r="E16" s="36"/>
      <c r="F16" s="36"/>
      <c r="G16" s="36"/>
      <c r="H16" s="36" t="s">
        <v>126</v>
      </c>
      <c r="I16" s="36"/>
      <c r="J16" s="36"/>
      <c r="K16" s="36"/>
      <c r="L16" s="36"/>
      <c r="M16" s="36"/>
      <c r="N16" s="36" t="s">
        <v>131</v>
      </c>
      <c r="O16" s="36"/>
      <c r="P16" s="36"/>
    </row>
    <row r="17" spans="1:16" ht="18" customHeight="1" x14ac:dyDescent="0.2">
      <c r="A17" s="37">
        <v>7</v>
      </c>
      <c r="B17" s="35" t="s">
        <v>71</v>
      </c>
      <c r="C17" s="35"/>
      <c r="D17" s="25"/>
      <c r="E17" s="35" t="s">
        <v>71</v>
      </c>
      <c r="F17" s="35"/>
      <c r="G17" s="25"/>
      <c r="H17" s="35" t="s">
        <v>71</v>
      </c>
      <c r="I17" s="35"/>
      <c r="J17" s="25"/>
      <c r="K17" s="35" t="s">
        <v>71</v>
      </c>
      <c r="L17" s="35"/>
      <c r="M17" s="25"/>
      <c r="N17" s="35" t="s">
        <v>71</v>
      </c>
      <c r="O17" s="35"/>
      <c r="P17" s="25"/>
    </row>
    <row r="18" spans="1:16" ht="62.15" customHeight="1" x14ac:dyDescent="0.2">
      <c r="A18" s="37"/>
      <c r="B18" s="36"/>
      <c r="C18" s="36"/>
      <c r="D18" s="36"/>
      <c r="E18" s="36"/>
      <c r="F18" s="36"/>
      <c r="G18" s="36"/>
      <c r="H18" s="36"/>
      <c r="I18" s="36"/>
      <c r="J18" s="36"/>
      <c r="K18" s="36"/>
      <c r="L18" s="36"/>
      <c r="M18" s="36"/>
      <c r="N18" s="36"/>
      <c r="O18" s="36"/>
      <c r="P18" s="36"/>
    </row>
    <row r="19" spans="1:16" ht="55" customHeight="1" x14ac:dyDescent="0.2">
      <c r="A19" s="10" t="s">
        <v>58</v>
      </c>
      <c r="B19" s="32"/>
      <c r="C19" s="32"/>
      <c r="D19" s="32"/>
      <c r="E19" s="32"/>
      <c r="F19" s="32"/>
      <c r="G19" s="32"/>
      <c r="H19" s="32"/>
      <c r="I19" s="32"/>
      <c r="J19" s="32"/>
      <c r="K19" s="32"/>
      <c r="L19" s="32"/>
      <c r="M19" s="32"/>
      <c r="N19" s="32"/>
      <c r="O19" s="32"/>
      <c r="P19" s="32"/>
    </row>
    <row r="20" spans="1:16" hidden="1" x14ac:dyDescent="0.2">
      <c r="A20" s="11"/>
      <c r="B20" s="11"/>
      <c r="C20" s="11"/>
      <c r="D20" s="11"/>
      <c r="E20" s="11"/>
      <c r="F20" s="11"/>
      <c r="G20" s="11"/>
      <c r="H20" s="11"/>
      <c r="I20" s="11"/>
      <c r="J20" s="11"/>
      <c r="K20" s="11"/>
      <c r="L20" s="11"/>
      <c r="M20" s="11"/>
      <c r="N20" s="11"/>
      <c r="O20" s="11"/>
      <c r="P20" s="11"/>
    </row>
    <row r="21" spans="1:16" ht="13.5" customHeight="1" x14ac:dyDescent="0.2">
      <c r="A21" s="12" t="s">
        <v>59</v>
      </c>
      <c r="B21" s="12" t="str">
        <f>IF(基本設定!B6="","",基本設定!B6)</f>
        <v>2-1</v>
      </c>
      <c r="C21" s="12" t="str">
        <f>IF(基本設定!B7="","",基本設定!B7)</f>
        <v>2-4</v>
      </c>
      <c r="D21" s="12" t="str">
        <f>IF(基本設定!B8="","",基本設定!B8)</f>
        <v>3-5</v>
      </c>
      <c r="E21" s="12" t="str">
        <f>IF(基本設定!B9="","",基本設定!B9)</f>
        <v>2-2数t</v>
      </c>
      <c r="F21" s="12" t="str">
        <f>IF(基本設定!B10="","",基本設定!B10)</f>
        <v>2-3数t</v>
      </c>
      <c r="G21" s="12" t="str">
        <f>IF(基本設定!B11="","",基本設定!B11)</f>
        <v>2-5数t</v>
      </c>
      <c r="H21" s="12"/>
      <c r="I21" s="12"/>
      <c r="J21" s="12"/>
      <c r="K21" s="12"/>
      <c r="L21" s="12"/>
      <c r="M21" s="13" t="s">
        <v>64</v>
      </c>
      <c r="N21" s="12" t="s">
        <v>25</v>
      </c>
      <c r="O21" s="12" t="s">
        <v>27</v>
      </c>
      <c r="P21" s="14" t="s">
        <v>60</v>
      </c>
    </row>
    <row r="22" spans="1:16" ht="13.5" customHeight="1" x14ac:dyDescent="0.2">
      <c r="A22" s="15" t="s">
        <v>61</v>
      </c>
      <c r="B22" s="16">
        <f>IF(B21="","",IFERROR(VALUE(VLOOKUP(B21,基本設定!$A$23:$B$35,2,FALSE())),""))</f>
        <v>4</v>
      </c>
      <c r="C22" s="16">
        <f>IF(C21="","",IFERROR(VALUE(VLOOKUP(C21,基本設定!$A$23:$B$35,2,FALSE())),""))</f>
        <v>4</v>
      </c>
      <c r="D22" s="16">
        <f>IF(D21="","",IFERROR(VALUE(VLOOKUP(D21,基本設定!$A$23:$B$35,2,FALSE())),""))</f>
        <v>4</v>
      </c>
      <c r="E22" s="16">
        <f>IF(E21="","",IFERROR(VALUE(VLOOKUP(E21,基本設定!$A$23:$B$35,2,FALSE())),""))</f>
        <v>1</v>
      </c>
      <c r="F22" s="16">
        <f>IF(F21="","",IFERROR(VALUE(VLOOKUP(F21,基本設定!$A$23:$B$35,2,FALSE())),""))</f>
        <v>1</v>
      </c>
      <c r="G22" s="16">
        <f>IF(G21="","",IFERROR(VALUE(VLOOKUP(G21,基本設定!$A$23:$B$35,2,FALSE())),""))</f>
        <v>1</v>
      </c>
      <c r="H22" s="17"/>
      <c r="I22" s="17"/>
      <c r="J22" s="17"/>
      <c r="K22" s="17"/>
      <c r="L22" s="17"/>
      <c r="M22" s="17">
        <v>1</v>
      </c>
      <c r="N22" s="17">
        <f>IF(N21="","",IFERROR(VALUE(VLOOKUP(N21,基本設定!$A$23:$B$35,2,FALSE())),""))</f>
        <v>1</v>
      </c>
      <c r="O22" s="17">
        <f>IF(O21="","",IFERROR(VALUE(VLOOKUP(O21,基本設定!$A$23:$B$35,2,FALSE())),""))</f>
        <v>2</v>
      </c>
      <c r="P22" s="18">
        <f>IF(SUM(B22:O22)=0,"",SUM(B22:O22))</f>
        <v>19</v>
      </c>
    </row>
    <row r="23" spans="1:16" ht="13.5" customHeight="1" x14ac:dyDescent="0.2">
      <c r="A23" s="33" t="s">
        <v>62</v>
      </c>
      <c r="B23" s="19">
        <f>IF(B21="","",IF(B24="","",B24-(SUMPRODUCT((B5:C5=B21)*(D5="×"))+SUMPRODUCT((E5:F5=B21)*(G5="×"))+SUMPRODUCT((H5:I5=B21)*(J5="×"))+SUMPRODUCT((K5:L5=B21)*(M5="×"))+SUMPRODUCT((N5:O5=B21)*(P5="×"))+SUMPRODUCT((B7:C7=B21)*(D7="×"))+SUMPRODUCT((E7:F7=B21)*(G7="×"))+SUMPRODUCT((H7:I7=B21)*(J7="×"))+SUMPRODUCT((K7:L7=B21)*(M7="×"))+SUMPRODUCT((N7:O7=B21)*(P7="×"))+SUMPRODUCT((B9:C9=B21)*(D9="×"))+SUMPRODUCT((E9:F9=B21)*(G9="×"))+SUMPRODUCT((H9:I9=B21)*(J9="×"))+SUMPRODUCT((K9:L9=B21)*(M9="×"))+SUMPRODUCT((N9:O9=B21)*(P9="×"))+SUMPRODUCT((B11:C11=B21)*(D11="×"))+SUMPRODUCT((E11:F11=B21)*(G11="×"))+SUMPRODUCT((H11:I11=B21)*(J11="×"))+SUMPRODUCT((K11:L11=B21)*(M11="×"))+SUMPRODUCT((N11:O11=B21)*(P11="×"))+SUMPRODUCT((B13:C13=B21)*(D13="×"))+SUMPRODUCT((E13:F13=B21)*(G13="×"))+SUMPRODUCT((H13:I13=B21)*(J13="×"))+SUMPRODUCT((K13:L13=B21)*(M13="×"))+SUMPRODUCT((N13:O13=B21)*(P13="×"))+SUMPRODUCT((B15:C15=B21)*(D15="×"))+SUMPRODUCT((E15:F15=B21)*(G15="×"))+SUMPRODUCT((H15:I15=B21)*(J15="×"))+SUMPRODUCT((K15:L15=B21)*(M15="×"))+SUMPRODUCT((N15:O15=B21)*(P15="×"))+SUMPRODUCT((B17:C17=B21)*(D17="×"))+SUMPRODUCT((E17:F17=B21)*(G17="×"))+SUMPRODUCT((H17:I17=B21)*(J17="×"))+SUMPRODUCT((K17:L17=B21)*(M17="×"))+SUMPRODUCT((N17:O17=B21)*(P17="×")))))</f>
        <v>5</v>
      </c>
      <c r="C23" s="19">
        <f>IF(C21="","",IF(C24="","",C24-(SUMPRODUCT((B5:C5=C21)*(D5="×"))+SUMPRODUCT((E5:F5=C21)*(G5="×"))+SUMPRODUCT((H5:I5=C21)*(J5="×"))+SUMPRODUCT((K5:L5=C21)*(M5="×"))+SUMPRODUCT((N5:O5=C21)*(P5="×"))+SUMPRODUCT((B7:C7=C21)*(D7="×"))+SUMPRODUCT((E7:F7=C21)*(G7="×"))+SUMPRODUCT((H7:I7=C21)*(J7="×"))+SUMPRODUCT((K7:L7=C21)*(M7="×"))+SUMPRODUCT((N7:O7=C21)*(P7="×"))+SUMPRODUCT((B9:C9=C21)*(D9="×"))+SUMPRODUCT((E9:F9=C21)*(G9="×"))+SUMPRODUCT((H9:I9=C21)*(J9="×"))+SUMPRODUCT((K9:L9=C21)*(M9="×"))+SUMPRODUCT((N9:O9=C21)*(P9="×"))+SUMPRODUCT((B11:C11=C21)*(D11="×"))+SUMPRODUCT((E11:F11=C21)*(G11="×"))+SUMPRODUCT((H11:I11=C21)*(J11="×"))+SUMPRODUCT((K11:L11=C21)*(M11="×"))+SUMPRODUCT((N11:O11=C21)*(P11="×"))+SUMPRODUCT((B13:C13=C21)*(D13="×"))+SUMPRODUCT((E13:F13=C21)*(G13="×"))+SUMPRODUCT((H13:I13=C21)*(J13="×"))+SUMPRODUCT((K13:L13=C21)*(M13="×"))+SUMPRODUCT((N13:O13=C21)*(P13="×"))+SUMPRODUCT((B15:C15=C21)*(D15="×"))+SUMPRODUCT((E15:F15=C21)*(G15="×"))+SUMPRODUCT((H15:I15=C21)*(J15="×"))+SUMPRODUCT((K15:L15=C21)*(M15="×"))+SUMPRODUCT((N15:O15=C21)*(P15="×"))+SUMPRODUCT((B17:C17=C21)*(D17="×"))+SUMPRODUCT((E17:F17=C21)*(G17="×"))+SUMPRODUCT((H17:I17=C21)*(J17="×"))+SUMPRODUCT((K17:L17=C21)*(M17="×"))+SUMPRODUCT((N17:O17=C21)*(P17="×")))))</f>
        <v>4</v>
      </c>
      <c r="D23" s="19">
        <f>IF(D21="","",IF(D24="","",D24-(SUMPRODUCT((B5:C5=D21)*(D5="×"))+SUMPRODUCT((E5:F5=D21)*(G5="×"))+SUMPRODUCT((H5:I5=D21)*(J5="×"))+SUMPRODUCT((K5:L5=D21)*(M5="×"))+SUMPRODUCT((N5:O5=D21)*(P5="×"))+SUMPRODUCT((B7:C7=D21)*(D7="×"))+SUMPRODUCT((E7:F7=D21)*(G7="×"))+SUMPRODUCT((H7:I7=D21)*(J7="×"))+SUMPRODUCT((K7:L7=D21)*(M7="×"))+SUMPRODUCT((N7:O7=D21)*(P7="×"))+SUMPRODUCT((B9:C9=D21)*(D9="×"))+SUMPRODUCT((E9:F9=D21)*(G9="×"))+SUMPRODUCT((H9:I9=D21)*(J9="×"))+SUMPRODUCT((K9:L9=D21)*(M9="×"))+SUMPRODUCT((N9:O9=D21)*(P9="×"))+SUMPRODUCT((B11:C11=D21)*(D11="×"))+SUMPRODUCT((E11:F11=D21)*(G11="×"))+SUMPRODUCT((H11:I11=D21)*(J11="×"))+SUMPRODUCT((K11:L11=D21)*(M11="×"))+SUMPRODUCT((N11:O11=D21)*(P11="×"))+SUMPRODUCT((B13:C13=D21)*(D13="×"))+SUMPRODUCT((E13:F13=D21)*(G13="×"))+SUMPRODUCT((H13:I13=D21)*(J13="×"))+SUMPRODUCT((K13:L13=D21)*(M13="×"))+SUMPRODUCT((N13:O13=D21)*(P13="×"))+SUMPRODUCT((B15:C15=D21)*(D15="×"))+SUMPRODUCT((E15:F15=D21)*(G15="×"))+SUMPRODUCT((H15:I15=D21)*(J15="×"))+SUMPRODUCT((K15:L15=D21)*(M15="×"))+SUMPRODUCT((N15:O15=D21)*(P15="×"))+SUMPRODUCT((B17:C17=D21)*(D17="×"))+SUMPRODUCT((E17:F17=D21)*(G17="×"))+SUMPRODUCT((H17:I17=D21)*(J17="×"))+SUMPRODUCT((K17:L17=D21)*(M17="×"))+SUMPRODUCT((N17:O17=D21)*(P17="×")))))</f>
        <v>1</v>
      </c>
      <c r="E23" s="19">
        <f>IF(E21="","",IF(E24="","",E24-(SUMPRODUCT((B5:C5=E21)*(D5="×"))+SUMPRODUCT((E5:F5=E21)*(G5="×"))+SUMPRODUCT((H5:I5=E21)*(J5="×"))+SUMPRODUCT((K5:L5=E21)*(M5="×"))+SUMPRODUCT((N5:O5=E21)*(P5="×"))+SUMPRODUCT((B7:C7=E21)*(D7="×"))+SUMPRODUCT((E7:F7=E21)*(G7="×"))+SUMPRODUCT((H7:I7=E21)*(J7="×"))+SUMPRODUCT((K7:L7=E21)*(M7="×"))+SUMPRODUCT((N7:O7=E21)*(P7="×"))+SUMPRODUCT((B9:C9=E21)*(D9="×"))+SUMPRODUCT((E9:F9=E21)*(G9="×"))+SUMPRODUCT((H9:I9=E21)*(J9="×"))+SUMPRODUCT((K9:L9=E21)*(M9="×"))+SUMPRODUCT((N9:O9=E21)*(P9="×"))+SUMPRODUCT((B11:C11=E21)*(D11="×"))+SUMPRODUCT((E11:F11=E21)*(G11="×"))+SUMPRODUCT((H11:I11=E21)*(J11="×"))+SUMPRODUCT((K11:L11=E21)*(M11="×"))+SUMPRODUCT((N11:O11=E21)*(P11="×"))+SUMPRODUCT((B13:C13=E21)*(D13="×"))+SUMPRODUCT((E13:F13=E21)*(G13="×"))+SUMPRODUCT((H13:I13=E21)*(J13="×"))+SUMPRODUCT((K13:L13=E21)*(M13="×"))+SUMPRODUCT((N13:O13=E21)*(P13="×"))+SUMPRODUCT((B15:C15=E21)*(D15="×"))+SUMPRODUCT((E15:F15=E21)*(G15="×"))+SUMPRODUCT((H15:I15=E21)*(J15="×"))+SUMPRODUCT((K15:L15=E21)*(M15="×"))+SUMPRODUCT((N15:O15=E21)*(P15="×"))+SUMPRODUCT((B17:C17=E21)*(D17="×"))+SUMPRODUCT((E17:F17=E21)*(G17="×"))+SUMPRODUCT((H17:I17=E21)*(J17="×"))+SUMPRODUCT((K17:L17=E21)*(M17="×"))+SUMPRODUCT((N17:O17=E21)*(P17="×")))))</f>
        <v>1</v>
      </c>
      <c r="F23" s="19">
        <f>IF(F21="","",IF(F24="","",F24-(SUMPRODUCT((B5:C5=F21)*(D5="×"))+SUMPRODUCT((E5:F5=F21)*(G5="×"))+SUMPRODUCT((H5:I5=F21)*(J5="×"))+SUMPRODUCT((K5:L5=F21)*(M5="×"))+SUMPRODUCT((N5:O5=F21)*(P5="×"))+SUMPRODUCT((B7:C7=F21)*(D7="×"))+SUMPRODUCT((E7:F7=F21)*(G7="×"))+SUMPRODUCT((H7:I7=F21)*(J7="×"))+SUMPRODUCT((K7:L7=F21)*(M7="×"))+SUMPRODUCT((N7:O7=F21)*(P7="×"))+SUMPRODUCT((B9:C9=F21)*(D9="×"))+SUMPRODUCT((E9:F9=F21)*(G9="×"))+SUMPRODUCT((H9:I9=F21)*(J9="×"))+SUMPRODUCT((K9:L9=F21)*(M9="×"))+SUMPRODUCT((N9:O9=F21)*(P9="×"))+SUMPRODUCT((B11:C11=F21)*(D11="×"))+SUMPRODUCT((E11:F11=F21)*(G11="×"))+SUMPRODUCT((H11:I11=F21)*(J11="×"))+SUMPRODUCT((K11:L11=F21)*(M11="×"))+SUMPRODUCT((N11:O11=F21)*(P11="×"))+SUMPRODUCT((B13:C13=F21)*(D13="×"))+SUMPRODUCT((E13:F13=F21)*(G13="×"))+SUMPRODUCT((H13:I13=F21)*(J13="×"))+SUMPRODUCT((K13:L13=F21)*(M13="×"))+SUMPRODUCT((N13:O13=F21)*(P13="×"))+SUMPRODUCT((B15:C15=F21)*(D15="×"))+SUMPRODUCT((E15:F15=F21)*(G15="×"))+SUMPRODUCT((H15:I15=F21)*(J15="×"))+SUMPRODUCT((K15:L15=F21)*(M15="×"))+SUMPRODUCT((N15:O15=F21)*(P15="×"))+SUMPRODUCT((B17:C17=F21)*(D17="×"))+SUMPRODUCT((E17:F17=F21)*(G17="×"))+SUMPRODUCT((H17:I17=F21)*(J17="×"))+SUMPRODUCT((K17:L17=F21)*(M17="×"))+SUMPRODUCT((N17:O17=F21)*(P17="×")))))</f>
        <v>1</v>
      </c>
      <c r="G23" s="19">
        <f>IF(G21="","",IF(G24="","",G24-(SUMPRODUCT((B5:C5=G21)*(D5="×"))+SUMPRODUCT((E5:F5=G21)*(G5="×"))+SUMPRODUCT((H5:I5=G21)*(J5="×"))+SUMPRODUCT((K5:L5=G21)*(M5="×"))+SUMPRODUCT((N5:O5=G21)*(P5="×"))+SUMPRODUCT((B7:C7=G21)*(D7="×"))+SUMPRODUCT((E7:F7=G21)*(G7="×"))+SUMPRODUCT((H7:I7=G21)*(J7="×"))+SUMPRODUCT((K7:L7=G21)*(M7="×"))+SUMPRODUCT((N7:O7=G21)*(P7="×"))+SUMPRODUCT((B9:C9=G21)*(D9="×"))+SUMPRODUCT((E9:F9=G21)*(G9="×"))+SUMPRODUCT((H9:I9=G21)*(J9="×"))+SUMPRODUCT((K9:L9=G21)*(M9="×"))+SUMPRODUCT((N9:O9=G21)*(P9="×"))+SUMPRODUCT((B11:C11=G21)*(D11="×"))+SUMPRODUCT((E11:F11=G21)*(G11="×"))+SUMPRODUCT((H11:I11=G21)*(J11="×"))+SUMPRODUCT((K11:L11=G21)*(M11="×"))+SUMPRODUCT((N11:O11=G21)*(P11="×"))+SUMPRODUCT((B13:C13=G21)*(D13="×"))+SUMPRODUCT((E13:F13=G21)*(G13="×"))+SUMPRODUCT((H13:I13=G21)*(J13="×"))+SUMPRODUCT((K13:L13=G21)*(M13="×"))+SUMPRODUCT((N13:O13=G21)*(P13="×"))+SUMPRODUCT((B15:C15=G21)*(D15="×"))+SUMPRODUCT((E15:F15=G21)*(G15="×"))+SUMPRODUCT((H15:I15=G21)*(J15="×"))+SUMPRODUCT((K15:L15=G21)*(M15="×"))+SUMPRODUCT((N15:O15=G21)*(P15="×"))+SUMPRODUCT((B17:C17=G21)*(D17="×"))+SUMPRODUCT((E17:F17=G21)*(G17="×"))+SUMPRODUCT((H17:I17=G21)*(J17="×"))+SUMPRODUCT((K17:L17=G21)*(M17="×"))+SUMPRODUCT((N17:O17=G21)*(P17="×")))))</f>
        <v>1</v>
      </c>
      <c r="H23" s="19"/>
      <c r="I23" s="19"/>
      <c r="J23" s="19"/>
      <c r="K23" s="19"/>
      <c r="L23" s="19"/>
      <c r="M23" s="19" t="str">
        <f>IF(M24="","",M24-(SUMPRODUCT((B5:C5="特活")*(D5="×"))+SUMPRODUCT((B5:C5="学活")*(D5="×"))+SUMPRODUCT((E5:F5="特活")*(G5="×"))+SUMPRODUCT((E5:F5="学活")*(G5="×"))+SUMPRODUCT((H5:I5="特活")*(J5="×"))+SUMPRODUCT((H5:I5="学活")*(J5="×"))+SUMPRODUCT((K5:L5="特活")*(M5="×"))+SUMPRODUCT((K5:L5="学活")*(M5="×"))+SUMPRODUCT((N5:O5="特活")*(P5="×"))+SUMPRODUCT((N5:O5="学活")*(P5="×"))+SUMPRODUCT((B7:C7="特活")*(D7="×"))+SUMPRODUCT((B7:C7="学活")*(D7="×"))+SUMPRODUCT((E7:F7="特活")*(G7="×"))+SUMPRODUCT((E7:F7="学活")*(G7="×"))+SUMPRODUCT((H7:I7="特活")*(J7="×"))+SUMPRODUCT((H7:I7="学活")*(J7="×"))+SUMPRODUCT((K7:L7="特活")*(M7="×"))+SUMPRODUCT((K7:L7="学活")*(M7="×"))+SUMPRODUCT((N7:O7="特活")*(P7="×"))+SUMPRODUCT((N7:O7="学活")*(P7="×"))+SUMPRODUCT((B9:C9="特活")*(D9="×"))+SUMPRODUCT((B9:C9="学活")*(D9="×"))+SUMPRODUCT((E9:F9="特活")*(G9="×"))+SUMPRODUCT((E9:F9="学活")*(G9="×"))+SUMPRODUCT((H9:I9="特活")*(J9="×"))+SUMPRODUCT((H9:I9="学活")*(J9="×"))+SUMPRODUCT((K9:L9="特活")*(M9="×"))+SUMPRODUCT((K9:L9="学活")*(M9="×"))+SUMPRODUCT((N9:O9="特活")*(P9="×"))+SUMPRODUCT((N9:O9="学活")*(P9="×"))+SUMPRODUCT((B11:C11="特活")*(D11="×"))+SUMPRODUCT((B11:C11="学活")*(D11="×"))+SUMPRODUCT((E11:F11="特活")*(G11="×"))+SUMPRODUCT((E11:F11="学活")*(G11="×"))+SUMPRODUCT((H11:I11="特活")*(J11="×"))+SUMPRODUCT((H11:I11="学活")*(J11="×"))+SUMPRODUCT((K11:L11="特活")*(M11="×"))+SUMPRODUCT((K11:L11="学活")*(M11="×"))+SUMPRODUCT((N11:O11="特活")*(P11="×"))+SUMPRODUCT((N11:O11="学活")*(P11="×"))+SUMPRODUCT((B13:C13="特活")*(D13="×"))+SUMPRODUCT((B13:C13="学活")*(D13="×"))+SUMPRODUCT((E13:F13="特活")*(G13="×"))+SUMPRODUCT((E13:F13="学活")*(G13="×"))+SUMPRODUCT((H13:I13="特活")*(J13="×"))+SUMPRODUCT((H13:I13="学活")*(J13="×"))+SUMPRODUCT((K13:L13="特活")*(M13="×"))+SUMPRODUCT((K13:L13="学活")*(M13="×"))+SUMPRODUCT((N13:O13="特活")*(P13="×"))+SUMPRODUCT((N13:O13="学活")*(P13="×"))+SUMPRODUCT((B15:C15="特活")*(D15="×"))+SUMPRODUCT((B15:C15="学活")*(D15="×"))+SUMPRODUCT((E15:F15="特活")*(G15="×"))+SUMPRODUCT((E15:F15="学活")*(G15="×"))+SUMPRODUCT((H15:I15="特活")*(J15="×"))+SUMPRODUCT((H15:I15="学活")*(J15="×"))+SUMPRODUCT((K15:L15="特活")*(M15="×"))+SUMPRODUCT((K15:L15="学活")*(M15="×"))+SUMPRODUCT((N15:O15="特活")*(P15="×"))+SUMPRODUCT((N15:O15="学活")*(P15="×"))+SUMPRODUCT((B17:C17="特活")*(D17="×"))+SUMPRODUCT((B17:C17="学活")*(D17="×"))+SUMPRODUCT((E17:F17="特活")*(G17="×"))+SUMPRODUCT((E17:F17="学活")*(G17="×"))+SUMPRODUCT((H17:I17="特活")*(J17="×"))+SUMPRODUCT((H17:I17="学活")*(J17="×"))+SUMPRODUCT((K17:L17="特活")*(M17="×"))+SUMPRODUCT((K17:L17="学活")*(M17="×"))+SUMPRODUCT((N17:O17="特活")*(P17="×"))+SUMPRODUCT((N17:O17="学活")*(P17="×"))))</f>
        <v/>
      </c>
      <c r="N23" s="19">
        <f>IF(N24="","",N24-(SUMPRODUCT((B5:C5=N21)*(D5="×"))+SUMPRODUCT((E5:F5=N21)*(G5="×"))+SUMPRODUCT((H5:I5=N21)*(J5="×"))+SUMPRODUCT((K5:L5=N21)*(M5="×"))+SUMPRODUCT((N5:O5=N21)*(P5="×"))+SUMPRODUCT((B7:C7=N21)*(D7="×"))+SUMPRODUCT((E7:F7=N21)*(G7="×"))+SUMPRODUCT((H7:I7=N21)*(J7="×"))+SUMPRODUCT((K7:L7=N21)*(M7="×"))+SUMPRODUCT((N7:O7=N21)*(P7="×"))+SUMPRODUCT((B9:C9=N21)*(D9="×"))+SUMPRODUCT((E9:F9=N21)*(G9="×"))+SUMPRODUCT((H9:I9=N21)*(J9="×"))+SUMPRODUCT((K9:L9=N21)*(M9="×"))+SUMPRODUCT((N9:O9=N21)*(P9="×"))+SUMPRODUCT((B11:C11=N21)*(D11="×"))+SUMPRODUCT((E11:F11=N21)*(G11="×"))+SUMPRODUCT((H11:I11=N21)*(J11="×"))+SUMPRODUCT((K11:L11=N21)*(M11="×"))+SUMPRODUCT((N11:O11=N21)*(P11="×"))+SUMPRODUCT((B13:C13=N21)*(D13="×"))+SUMPRODUCT((E13:F13=N21)*(G13="×"))+SUMPRODUCT((H13:I13=N21)*(J13="×"))+SUMPRODUCT((K13:L13=N21)*(M13="×"))+SUMPRODUCT((N13:O13=N21)*(P13="×"))+SUMPRODUCT((B15:C15=N21)*(D15="×"))+SUMPRODUCT((E15:F15=N21)*(G15="×"))+SUMPRODUCT((H15:I15=N21)*(J15="×"))+SUMPRODUCT((K15:L15=N21)*(M15="×"))+SUMPRODUCT((N15:O15=N21)*(P15="×"))+SUMPRODUCT((B17:C17=N21)*(D17="×"))+SUMPRODUCT((E17:F17=N21)*(G17="×"))+SUMPRODUCT((H17:I17=N21)*(J17="×"))+SUMPRODUCT((K17:L17=N21)*(M17="×"))+SUMPRODUCT((N17:O17=N21)*(P17="×"))))</f>
        <v>1</v>
      </c>
      <c r="O23" s="19">
        <f>IF(O24="","",O24-(SUMPRODUCT((B5:C5=O21)*(D5="×"))+SUMPRODUCT((E5:F5=O21)*(G5="×"))+SUMPRODUCT((H5:I5=O21)*(J5="×"))+SUMPRODUCT((K5:L5=O21)*(M5="×"))+SUMPRODUCT((N5:O5=O21)*(P5="×"))+SUMPRODUCT((B7:C7=O21)*(D7="×"))+SUMPRODUCT((E7:F7=O21)*(G7="×"))+SUMPRODUCT((H7:I7=O21)*(J7="×"))+SUMPRODUCT((K7:L7=O21)*(M7="×"))+SUMPRODUCT((N7:O7=O21)*(P7="×"))+SUMPRODUCT((B9:C9=O21)*(D9="×"))+SUMPRODUCT((E9:F9=O21)*(G9="×"))+SUMPRODUCT((H9:I9=O21)*(J9="×"))+SUMPRODUCT((K9:L9=O21)*(M9="×"))+SUMPRODUCT((N9:O9=O21)*(P9="×"))+SUMPRODUCT((B11:C11=O21)*(D11="×"))+SUMPRODUCT((E11:F11=O21)*(G11="×"))+SUMPRODUCT((H11:I11=O21)*(J11="×"))+SUMPRODUCT((K11:L11=O21)*(M11="×"))+SUMPRODUCT((N11:O11=O21)*(P11="×"))+SUMPRODUCT((B13:C13=O21)*(D13="×"))+SUMPRODUCT((E13:F13=O21)*(G13="×"))+SUMPRODUCT((H13:I13=O21)*(J13="×"))+SUMPRODUCT((K13:L13=O21)*(M13="×"))+SUMPRODUCT((N13:O13=O21)*(P13="×"))+SUMPRODUCT((B15:C15=O21)*(D15="×"))+SUMPRODUCT((E15:F15=O21)*(G15="×"))+SUMPRODUCT((H15:I15=O21)*(J15="×"))+SUMPRODUCT((K15:L15=O21)*(M15="×"))+SUMPRODUCT((N15:O15=O21)*(P15="×"))+SUMPRODUCT((B17:C17=O21)*(D17="×"))+SUMPRODUCT((E17:F17=O21)*(G17="×"))+SUMPRODUCT((H17:I17=O21)*(J17="×"))+SUMPRODUCT((K17:L17=O21)*(M17="×"))+SUMPRODUCT((N17:O17=O21)*(P17="×"))))</f>
        <v>1</v>
      </c>
      <c r="P23" s="20">
        <f>IF(SUM(B23:O23)=0,"",SUM(B23:O23))</f>
        <v>15</v>
      </c>
    </row>
    <row r="24" spans="1:16" ht="13.5" customHeight="1" x14ac:dyDescent="0.2">
      <c r="A24" s="34"/>
      <c r="B24" s="21">
        <f>IF(B21="","",IF(COUNTIF(B5:C5,B21)+COUNTIF(B5:C5,"*,"&amp;B21&amp;",*")+COUNTIF(E5:F5,B21)+COUNTIF(E5:F5,"*,"&amp;B21&amp;",*")+COUNTIF(H5:I5,B21)+COUNTIF(H5:I5,"*,"&amp;B21&amp;",*")+COUNTIF(K5:L5,B21)+COUNTIF(K5:L5,"*,"&amp;B21&amp;",*")+COUNTIF(N5:O5,B21)+COUNTIF(N5:O5,"*,"&amp;B21&amp;",*")+COUNTIF(B7:C7,B21)+COUNTIF(B7:C7,"*,"&amp;B21&amp;",*")+COUNTIF(E7:F7,B21)+COUNTIF(E7:F7,"*,"&amp;B21&amp;",*")+COUNTIF(H7:I7,B21)+COUNTIF(H7:I7,"*,"&amp;B21&amp;",*")+COUNTIF(K7:L7,B21)+COUNTIF(K7:L7,"*,"&amp;B21&amp;",*")+COUNTIF(N7:O7,B21)+COUNTIF(N7:O7,"*,"&amp;B21&amp;",*")+COUNTIF(B9:C9,B21)+COUNTIF(B9:C9,"*,"&amp;B21&amp;",*")+COUNTIF(E9:F9,B21)+COUNTIF(E9:F9,"*,"&amp;B21&amp;",*")+COUNTIF(H9:I9,B21)+COUNTIF(H9:I9,"*,"&amp;B21&amp;",*")+COUNTIF(K9:L9,B21)+COUNTIF(K9:L9,"*,"&amp;B21&amp;",*")+COUNTIF(N9:O9,B21)+COUNTIF(N9:O9,"*,"&amp;B21&amp;",*")+COUNTIF(B11:C11,B21)+COUNTIF(B11:C11,"*,"&amp;B21&amp;",*")+COUNTIF(E11:F11,B21)+COUNTIF(E11:F11,"*,"&amp;B21&amp;",*")+COUNTIF(H11:I11,B21)+COUNTIF(H11:I11,"*,"&amp;B21&amp;",*")+COUNTIF(K11:L11,B21)+COUNTIF(K11:L11,"*,"&amp;B21&amp;",*")+COUNTIF(N11:O11,B21)+COUNTIF(N11:O11,"*,"&amp;B21&amp;",*")+COUNTIF(B13:C13,B21)+COUNTIF(B13:C13,"*,"&amp;B21&amp;",*")+COUNTIF(E13:F13,B21)+COUNTIF(E13:F13,"*,"&amp;B21&amp;",*")+COUNTIF(H13:I13,B21)+COUNTIF(H13:I13,"*,"&amp;B21&amp;",*")+COUNTIF(K13:L13,B21)+COUNTIF(K13:L13,"*,"&amp;B21&amp;",*")+COUNTIF(N13:O13,B21)+COUNTIF(N13:O13,"*,"&amp;B21&amp;",*")+COUNTIF(B15:C15,B21)+COUNTIF(B15:C15,"*,"&amp;B21&amp;",*")+COUNTIF(E15:F15,B21)+COUNTIF(E15:F15,"*,"&amp;B21&amp;",*")+COUNTIF(H15:I15,B21)+COUNTIF(H15:I15,"*,"&amp;B21&amp;",*")+COUNTIF(K15:L15,B21)+COUNTIF(K15:L15,"*,"&amp;B21&amp;",*")+COUNTIF(N15:O15,B21)+COUNTIF(N15:O15,"*,"&amp;B21&amp;",*")+COUNTIF(B17:C17,B21)+COUNTIF(B17:C17,"*,"&amp;B21&amp;",*")+COUNTIF(E17:F17,B21)+COUNTIF(E17:F17,"*,"&amp;B21&amp;",*")+COUNTIF(H17:I17,B21)+COUNTIF(H17:I17,"*,"&amp;B21&amp;",*")+COUNTIF(K17:L17,B21)+COUNTIF(K17:L17,"*,"&amp;B21&amp;",*")+COUNTIF(N17:O17,B21)+COUNTIF(N17:O17,"*,"&amp;B21&amp;",*")=0,"",COUNTIF(B5:C5,B21)+COUNTIF(B5:C5,"*,"&amp;B21&amp;",*")+COUNTIF(E5:F5,B21)+COUNTIF(E5:F5,"*,"&amp;B21&amp;",*")+COUNTIF(H5:I5,B21)+COUNTIF(H5:I5,"*,"&amp;B21&amp;",*")+COUNTIF(K5:L5,B21)+COUNTIF(K5:L5,"*,"&amp;B21&amp;",*")+COUNTIF(N5:O5,B21)+COUNTIF(N5:O5,"*,"&amp;B21&amp;",*")+COUNTIF(B7:C7,B21)+COUNTIF(B7:C7,"*,"&amp;B21&amp;",*")+COUNTIF(E7:F7,B21)+COUNTIF(E7:F7,"*,"&amp;B21&amp;",*")+COUNTIF(H7:I7,B21)+COUNTIF(H7:I7,"*,"&amp;B21&amp;",*")+COUNTIF(K7:L7,B21)+COUNTIF(K7:L7,"*,"&amp;B21&amp;",*")+COUNTIF(N7:O7,B21)+COUNTIF(N7:O7,"*,"&amp;B21&amp;",*")+COUNTIF(B9:C9,B21)+COUNTIF(B9:C9,"*,"&amp;B21&amp;",*")+COUNTIF(E9:F9,B21)+COUNTIF(E9:F9,"*,"&amp;B21&amp;",*")+COUNTIF(H9:I9,B21)+COUNTIF(H9:I9,"*,"&amp;B21&amp;",*")+COUNTIF(K9:L9,B21)+COUNTIF(K9:L9,"*,"&amp;B21&amp;",*")+COUNTIF(N9:O9,B21)+COUNTIF(N9:O9,"*,"&amp;B21&amp;",*")+COUNTIF(B11:C11,B21)+COUNTIF(B11:C11,"*,"&amp;B21&amp;",*")+COUNTIF(E11:F11,B21)+COUNTIF(E11:F11,"*,"&amp;B21&amp;",*")+COUNTIF(H11:I11,B21)+COUNTIF(H11:I11,"*,"&amp;B21&amp;",*")+COUNTIF(K11:L11,B21)+COUNTIF(K11:L11,"*,"&amp;B21&amp;",*")+COUNTIF(N11:O11,B21)+COUNTIF(N11:O11,"*,"&amp;B21&amp;",*")+COUNTIF(B13:C13,B21)+COUNTIF(B13:C13,"*,"&amp;B21&amp;",*")+COUNTIF(E13:F13,B21)+COUNTIF(E13:F13,"*,"&amp;B21&amp;",*")+COUNTIF(H13:I13,B21)+COUNTIF(H13:I13,"*,"&amp;B21&amp;",*")+COUNTIF(K13:L13,B21)+COUNTIF(K13:L13,"*,"&amp;B21&amp;",*")+COUNTIF(N13:O13,B21)+COUNTIF(N13:O13,"*,"&amp;B21&amp;",*")+COUNTIF(B15:C15,B21)+COUNTIF(B15:C15,"*,"&amp;B21&amp;",*")+COUNTIF(E15:F15,B21)+COUNTIF(E15:F15,"*,"&amp;B21&amp;",*")+COUNTIF(H15:I15,B21)+COUNTIF(H15:I15,"*,"&amp;B21&amp;",*")+COUNTIF(K15:L15,B21)+COUNTIF(K15:L15,"*,"&amp;B21&amp;",*")+COUNTIF(N15:O15,B21)+COUNTIF(N15:O15,"*,"&amp;B21&amp;",*")+COUNTIF(B17:C17,B21)+COUNTIF(B17:C17,"*,"&amp;B21&amp;",*")+COUNTIF(E17:F17,B21)+COUNTIF(E17:F17,"*,"&amp;B21&amp;",*")+COUNTIF(H17:I17,B21)+COUNTIF(H17:I17,"*,"&amp;B21&amp;",*")+COUNTIF(K17:L17,B21)+COUNTIF(K17:L17,"*,"&amp;B21&amp;",*")+COUNTIF(N17:O17,B21)+COUNTIF(N17:O17,"*,"&amp;B21&amp;",*")))</f>
        <v>5</v>
      </c>
      <c r="C24" s="21">
        <f>IF(C21="","",IF(COUNTIF(B5:C5,C21)+COUNTIF(B5:C5,"*,"&amp;C21&amp;",*")+COUNTIF(E5:F5,C21)+COUNTIF(E5:F5,"*,"&amp;C21&amp;",*")+COUNTIF(H5:I5,C21)+COUNTIF(H5:I5,"*,"&amp;C21&amp;",*")+COUNTIF(K5:L5,C21)+COUNTIF(K5:L5,"*,"&amp;C21&amp;",*")+COUNTIF(N5:O5,C21)+COUNTIF(N5:O5,"*,"&amp;C21&amp;",*")+COUNTIF(B7:C7,C21)+COUNTIF(B7:C7,"*,"&amp;C21&amp;",*")+COUNTIF(E7:F7,C21)+COUNTIF(E7:F7,"*,"&amp;C21&amp;",*")+COUNTIF(H7:I7,C21)+COUNTIF(H7:I7,"*,"&amp;C21&amp;",*")+COUNTIF(K7:L7,C21)+COUNTIF(K7:L7,"*,"&amp;C21&amp;",*")+COUNTIF(N7:O7,C21)+COUNTIF(N7:O7,"*,"&amp;C21&amp;",*")+COUNTIF(B9:C9,C21)+COUNTIF(B9:C9,"*,"&amp;C21&amp;",*")+COUNTIF(E9:F9,C21)+COUNTIF(E9:F9,"*,"&amp;C21&amp;",*")+COUNTIF(H9:I9,C21)+COUNTIF(H9:I9,"*,"&amp;C21&amp;",*")+COUNTIF(K9:L9,C21)+COUNTIF(K9:L9,"*,"&amp;C21&amp;",*")+COUNTIF(N9:O9,C21)+COUNTIF(N9:O9,"*,"&amp;C21&amp;",*")+COUNTIF(B11:C11,C21)+COUNTIF(B11:C11,"*,"&amp;C21&amp;",*")+COUNTIF(E11:F11,C21)+COUNTIF(E11:F11,"*,"&amp;C21&amp;",*")+COUNTIF(H11:I11,C21)+COUNTIF(H11:I11,"*,"&amp;C21&amp;",*")+COUNTIF(K11:L11,C21)+COUNTIF(K11:L11,"*,"&amp;C21&amp;",*")+COUNTIF(N11:O11,C21)+COUNTIF(N11:O11,"*,"&amp;C21&amp;",*")+COUNTIF(B13:C13,C21)+COUNTIF(B13:C13,"*,"&amp;C21&amp;",*")+COUNTIF(E13:F13,C21)+COUNTIF(E13:F13,"*,"&amp;C21&amp;",*")+COUNTIF(H13:I13,C21)+COUNTIF(H13:I13,"*,"&amp;C21&amp;",*")+COUNTIF(K13:L13,C21)+COUNTIF(K13:L13,"*,"&amp;C21&amp;",*")+COUNTIF(N13:O13,C21)+COUNTIF(N13:O13,"*,"&amp;C21&amp;",*")+COUNTIF(B15:C15,C21)+COUNTIF(B15:C15,"*,"&amp;C21&amp;",*")+COUNTIF(E15:F15,C21)+COUNTIF(E15:F15,"*,"&amp;C21&amp;",*")+COUNTIF(H15:I15,C21)+COUNTIF(H15:I15,"*,"&amp;C21&amp;",*")+COUNTIF(K15:L15,C21)+COUNTIF(K15:L15,"*,"&amp;C21&amp;",*")+COUNTIF(N15:O15,C21)+COUNTIF(N15:O15,"*,"&amp;C21&amp;",*")+COUNTIF(B17:C17,C21)+COUNTIF(B17:C17,"*,"&amp;C21&amp;",*")+COUNTIF(E17:F17,C21)+COUNTIF(E17:F17,"*,"&amp;C21&amp;",*")+COUNTIF(H17:I17,C21)+COUNTIF(H17:I17,"*,"&amp;C21&amp;",*")+COUNTIF(K17:L17,C21)+COUNTIF(K17:L17,"*,"&amp;C21&amp;",*")+COUNTIF(N17:O17,C21)+COUNTIF(N17:O17,"*,"&amp;C21&amp;",*")=0,"",COUNTIF(B5:C5,C21)+COUNTIF(B5:C5,"*,"&amp;C21&amp;",*")+COUNTIF(E5:F5,C21)+COUNTIF(E5:F5,"*,"&amp;C21&amp;",*")+COUNTIF(H5:I5,C21)+COUNTIF(H5:I5,"*,"&amp;C21&amp;",*")+COUNTIF(K5:L5,C21)+COUNTIF(K5:L5,"*,"&amp;C21&amp;",*")+COUNTIF(N5:O5,C21)+COUNTIF(N5:O5,"*,"&amp;C21&amp;",*")+COUNTIF(B7:C7,C21)+COUNTIF(B7:C7,"*,"&amp;C21&amp;",*")+COUNTIF(E7:F7,C21)+COUNTIF(E7:F7,"*,"&amp;C21&amp;",*")+COUNTIF(H7:I7,C21)+COUNTIF(H7:I7,"*,"&amp;C21&amp;",*")+COUNTIF(K7:L7,C21)+COUNTIF(K7:L7,"*,"&amp;C21&amp;",*")+COUNTIF(N7:O7,C21)+COUNTIF(N7:O7,"*,"&amp;C21&amp;",*")+COUNTIF(B9:C9,C21)+COUNTIF(B9:C9,"*,"&amp;C21&amp;",*")+COUNTIF(E9:F9,C21)+COUNTIF(E9:F9,"*,"&amp;C21&amp;",*")+COUNTIF(H9:I9,C21)+COUNTIF(H9:I9,"*,"&amp;C21&amp;",*")+COUNTIF(K9:L9,C21)+COUNTIF(K9:L9,"*,"&amp;C21&amp;",*")+COUNTIF(N9:O9,C21)+COUNTIF(N9:O9,"*,"&amp;C21&amp;",*")+COUNTIF(B11:C11,C21)+COUNTIF(B11:C11,"*,"&amp;C21&amp;",*")+COUNTIF(E11:F11,C21)+COUNTIF(E11:F11,"*,"&amp;C21&amp;",*")+COUNTIF(H11:I11,C21)+COUNTIF(H11:I11,"*,"&amp;C21&amp;",*")+COUNTIF(K11:L11,C21)+COUNTIF(K11:L11,"*,"&amp;C21&amp;",*")+COUNTIF(N11:O11,C21)+COUNTIF(N11:O11,"*,"&amp;C21&amp;",*")+COUNTIF(B13:C13,C21)+COUNTIF(B13:C13,"*,"&amp;C21&amp;",*")+COUNTIF(E13:F13,C21)+COUNTIF(E13:F13,"*,"&amp;C21&amp;",*")+COUNTIF(H13:I13,C21)+COUNTIF(H13:I13,"*,"&amp;C21&amp;",*")+COUNTIF(K13:L13,C21)+COUNTIF(K13:L13,"*,"&amp;C21&amp;",*")+COUNTIF(N13:O13,C21)+COUNTIF(N13:O13,"*,"&amp;C21&amp;",*")+COUNTIF(B15:C15,C21)+COUNTIF(B15:C15,"*,"&amp;C21&amp;",*")+COUNTIF(E15:F15,C21)+COUNTIF(E15:F15,"*,"&amp;C21&amp;",*")+COUNTIF(H15:I15,C21)+COUNTIF(H15:I15,"*,"&amp;C21&amp;",*")+COUNTIF(K15:L15,C21)+COUNTIF(K15:L15,"*,"&amp;C21&amp;",*")+COUNTIF(N15:O15,C21)+COUNTIF(N15:O15,"*,"&amp;C21&amp;",*")+COUNTIF(B17:C17,C21)+COUNTIF(B17:C17,"*,"&amp;C21&amp;",*")+COUNTIF(E17:F17,C21)+COUNTIF(E17:F17,"*,"&amp;C21&amp;",*")+COUNTIF(H17:I17,C21)+COUNTIF(H17:I17,"*,"&amp;C21&amp;",*")+COUNTIF(K17:L17,C21)+COUNTIF(K17:L17,"*,"&amp;C21&amp;",*")+COUNTIF(N17:O17,C21)+COUNTIF(N17:O17,"*,"&amp;C21&amp;",*")))</f>
        <v>4</v>
      </c>
      <c r="D24" s="21">
        <f>IF(D21="","",IF(COUNTIF(B5:C5,D21)+COUNTIF(B5:C5,"*,"&amp;D21&amp;",*")+COUNTIF(E5:F5,D21)+COUNTIF(E5:F5,"*,"&amp;D21&amp;",*")+COUNTIF(H5:I5,D21)+COUNTIF(H5:I5,"*,"&amp;D21&amp;",*")+COUNTIF(K5:L5,D21)+COUNTIF(K5:L5,"*,"&amp;D21&amp;",*")+COUNTIF(N5:O5,D21)+COUNTIF(N5:O5,"*,"&amp;D21&amp;",*")+COUNTIF(B7:C7,D21)+COUNTIF(B7:C7,"*,"&amp;D21&amp;",*")+COUNTIF(E7:F7,D21)+COUNTIF(E7:F7,"*,"&amp;D21&amp;",*")+COUNTIF(H7:I7,D21)+COUNTIF(H7:I7,"*,"&amp;D21&amp;",*")+COUNTIF(K7:L7,D21)+COUNTIF(K7:L7,"*,"&amp;D21&amp;",*")+COUNTIF(N7:O7,D21)+COUNTIF(N7:O7,"*,"&amp;D21&amp;",*")+COUNTIF(B9:C9,D21)+COUNTIF(B9:C9,"*,"&amp;D21&amp;",*")+COUNTIF(E9:F9,D21)+COUNTIF(E9:F9,"*,"&amp;D21&amp;",*")+COUNTIF(H9:I9,D21)+COUNTIF(H9:I9,"*,"&amp;D21&amp;",*")+COUNTIF(K9:L9,D21)+COUNTIF(K9:L9,"*,"&amp;D21&amp;",*")+COUNTIF(N9:O9,D21)+COUNTIF(N9:O9,"*,"&amp;D21&amp;",*")+COUNTIF(B11:C11,D21)+COUNTIF(B11:C11,"*,"&amp;D21&amp;",*")+COUNTIF(E11:F11,D21)+COUNTIF(E11:F11,"*,"&amp;D21&amp;",*")+COUNTIF(H11:I11,D21)+COUNTIF(H11:I11,"*,"&amp;D21&amp;",*")+COUNTIF(K11:L11,D21)+COUNTIF(K11:L11,"*,"&amp;D21&amp;",*")+COUNTIF(N11:O11,D21)+COUNTIF(N11:O11,"*,"&amp;D21&amp;",*")+COUNTIF(B13:C13,D21)+COUNTIF(B13:C13,"*,"&amp;D21&amp;",*")+COUNTIF(E13:F13,D21)+COUNTIF(E13:F13,"*,"&amp;D21&amp;",*")+COUNTIF(H13:I13,D21)+COUNTIF(H13:I13,"*,"&amp;D21&amp;",*")+COUNTIF(K13:L13,D21)+COUNTIF(K13:L13,"*,"&amp;D21&amp;",*")+COUNTIF(N13:O13,D21)+COUNTIF(N13:O13,"*,"&amp;D21&amp;",*")+COUNTIF(B15:C15,D21)+COUNTIF(B15:C15,"*,"&amp;D21&amp;",*")+COUNTIF(E15:F15,D21)+COUNTIF(E15:F15,"*,"&amp;D21&amp;",*")+COUNTIF(H15:I15,D21)+COUNTIF(H15:I15,"*,"&amp;D21&amp;",*")+COUNTIF(K15:L15,D21)+COUNTIF(K15:L15,"*,"&amp;D21&amp;",*")+COUNTIF(N15:O15,D21)+COUNTIF(N15:O15,"*,"&amp;D21&amp;",*")+COUNTIF(B17:C17,D21)+COUNTIF(B17:C17,"*,"&amp;D21&amp;",*")+COUNTIF(E17:F17,D21)+COUNTIF(E17:F17,"*,"&amp;D21&amp;",*")+COUNTIF(H17:I17,D21)+COUNTIF(H17:I17,"*,"&amp;D21&amp;",*")+COUNTIF(K17:L17,D21)+COUNTIF(K17:L17,"*,"&amp;D21&amp;",*")+COUNTIF(N17:O17,D21)+COUNTIF(N17:O17,"*,"&amp;D21&amp;",*")=0,"",COUNTIF(B5:C5,D21)+COUNTIF(B5:C5,"*,"&amp;D21&amp;",*")+COUNTIF(E5:F5,D21)+COUNTIF(E5:F5,"*,"&amp;D21&amp;",*")+COUNTIF(H5:I5,D21)+COUNTIF(H5:I5,"*,"&amp;D21&amp;",*")+COUNTIF(K5:L5,D21)+COUNTIF(K5:L5,"*,"&amp;D21&amp;",*")+COUNTIF(N5:O5,D21)+COUNTIF(N5:O5,"*,"&amp;D21&amp;",*")+COUNTIF(B7:C7,D21)+COUNTIF(B7:C7,"*,"&amp;D21&amp;",*")+COUNTIF(E7:F7,D21)+COUNTIF(E7:F7,"*,"&amp;D21&amp;",*")+COUNTIF(H7:I7,D21)+COUNTIF(H7:I7,"*,"&amp;D21&amp;",*")+COUNTIF(K7:L7,D21)+COUNTIF(K7:L7,"*,"&amp;D21&amp;",*")+COUNTIF(N7:O7,D21)+COUNTIF(N7:O7,"*,"&amp;D21&amp;",*")+COUNTIF(B9:C9,D21)+COUNTIF(B9:C9,"*,"&amp;D21&amp;",*")+COUNTIF(E9:F9,D21)+COUNTIF(E9:F9,"*,"&amp;D21&amp;",*")+COUNTIF(H9:I9,D21)+COUNTIF(H9:I9,"*,"&amp;D21&amp;",*")+COUNTIF(K9:L9,D21)+COUNTIF(K9:L9,"*,"&amp;D21&amp;",*")+COUNTIF(N9:O9,D21)+COUNTIF(N9:O9,"*,"&amp;D21&amp;",*")+COUNTIF(B11:C11,D21)+COUNTIF(B11:C11,"*,"&amp;D21&amp;",*")+COUNTIF(E11:F11,D21)+COUNTIF(E11:F11,"*,"&amp;D21&amp;",*")+COUNTIF(H11:I11,D21)+COUNTIF(H11:I11,"*,"&amp;D21&amp;",*")+COUNTIF(K11:L11,D21)+COUNTIF(K11:L11,"*,"&amp;D21&amp;",*")+COUNTIF(N11:O11,D21)+COUNTIF(N11:O11,"*,"&amp;D21&amp;",*")+COUNTIF(B13:C13,D21)+COUNTIF(B13:C13,"*,"&amp;D21&amp;",*")+COUNTIF(E13:F13,D21)+COUNTIF(E13:F13,"*,"&amp;D21&amp;",*")+COUNTIF(H13:I13,D21)+COUNTIF(H13:I13,"*,"&amp;D21&amp;",*")+COUNTIF(K13:L13,D21)+COUNTIF(K13:L13,"*,"&amp;D21&amp;",*")+COUNTIF(N13:O13,D21)+COUNTIF(N13:O13,"*,"&amp;D21&amp;",*")+COUNTIF(B15:C15,D21)+COUNTIF(B15:C15,"*,"&amp;D21&amp;",*")+COUNTIF(E15:F15,D21)+COUNTIF(E15:F15,"*,"&amp;D21&amp;",*")+COUNTIF(H15:I15,D21)+COUNTIF(H15:I15,"*,"&amp;D21&amp;",*")+COUNTIF(K15:L15,D21)+COUNTIF(K15:L15,"*,"&amp;D21&amp;",*")+COUNTIF(N15:O15,D21)+COUNTIF(N15:O15,"*,"&amp;D21&amp;",*")+COUNTIF(B17:C17,D21)+COUNTIF(B17:C17,"*,"&amp;D21&amp;",*")+COUNTIF(E17:F17,D21)+COUNTIF(E17:F17,"*,"&amp;D21&amp;",*")+COUNTIF(H17:I17,D21)+COUNTIF(H17:I17,"*,"&amp;D21&amp;",*")+COUNTIF(K17:L17,D21)+COUNTIF(K17:L17,"*,"&amp;D21&amp;",*")+COUNTIF(N17:O17,D21)+COUNTIF(N17:O17,"*,"&amp;D21&amp;",*")))</f>
        <v>1</v>
      </c>
      <c r="E24" s="21">
        <f>IF(E21="","",IF(COUNTIF(B5:C5,E21)+COUNTIF(B5:C5,"*,"&amp;E21&amp;",*")+COUNTIF(E5:F5,E21)+COUNTIF(E5:F5,"*,"&amp;E21&amp;",*")+COUNTIF(H5:I5,E21)+COUNTIF(H5:I5,"*,"&amp;E21&amp;",*")+COUNTIF(K5:L5,E21)+COUNTIF(K5:L5,"*,"&amp;E21&amp;",*")+COUNTIF(N5:O5,E21)+COUNTIF(N5:O5,"*,"&amp;E21&amp;",*")+COUNTIF(B7:C7,E21)+COUNTIF(B7:C7,"*,"&amp;E21&amp;",*")+COUNTIF(E7:F7,E21)+COUNTIF(E7:F7,"*,"&amp;E21&amp;",*")+COUNTIF(H7:I7,E21)+COUNTIF(H7:I7,"*,"&amp;E21&amp;",*")+COUNTIF(K7:L7,E21)+COUNTIF(K7:L7,"*,"&amp;E21&amp;",*")+COUNTIF(N7:O7,E21)+COUNTIF(N7:O7,"*,"&amp;E21&amp;",*")+COUNTIF(B9:C9,E21)+COUNTIF(B9:C9,"*,"&amp;E21&amp;",*")+COUNTIF(E9:F9,E21)+COUNTIF(E9:F9,"*,"&amp;E21&amp;",*")+COUNTIF(H9:I9,E21)+COUNTIF(H9:I9,"*,"&amp;E21&amp;",*")+COUNTIF(K9:L9,E21)+COUNTIF(K9:L9,"*,"&amp;E21&amp;",*")+COUNTIF(N9:O9,E21)+COUNTIF(N9:O9,"*,"&amp;E21&amp;",*")+COUNTIF(B11:C11,E21)+COUNTIF(B11:C11,"*,"&amp;E21&amp;",*")+COUNTIF(E11:F11,E21)+COUNTIF(E11:F11,"*,"&amp;E21&amp;",*")+COUNTIF(H11:I11,E21)+COUNTIF(H11:I11,"*,"&amp;E21&amp;",*")+COUNTIF(K11:L11,E21)+COUNTIF(K11:L11,"*,"&amp;E21&amp;",*")+COUNTIF(N11:O11,E21)+COUNTIF(N11:O11,"*,"&amp;E21&amp;",*")+COUNTIF(B13:C13,E21)+COUNTIF(B13:C13,"*,"&amp;E21&amp;",*")+COUNTIF(E13:F13,E21)+COUNTIF(E13:F13,"*,"&amp;E21&amp;",*")+COUNTIF(H13:I13,E21)+COUNTIF(H13:I13,"*,"&amp;E21&amp;",*")+COUNTIF(K13:L13,E21)+COUNTIF(K13:L13,"*,"&amp;E21&amp;",*")+COUNTIF(N13:O13,E21)+COUNTIF(N13:O13,"*,"&amp;E21&amp;",*")+COUNTIF(B15:C15,E21)+COUNTIF(B15:C15,"*,"&amp;E21&amp;",*")+COUNTIF(E15:F15,E21)+COUNTIF(E15:F15,"*,"&amp;E21&amp;",*")+COUNTIF(H15:I15,E21)+COUNTIF(H15:I15,"*,"&amp;E21&amp;",*")+COUNTIF(K15:L15,E21)+COUNTIF(K15:L15,"*,"&amp;E21&amp;",*")+COUNTIF(N15:O15,E21)+COUNTIF(N15:O15,"*,"&amp;E21&amp;",*")+COUNTIF(B17:C17,E21)+COUNTIF(B17:C17,"*,"&amp;E21&amp;",*")+COUNTIF(E17:F17,E21)+COUNTIF(E17:F17,"*,"&amp;E21&amp;",*")+COUNTIF(H17:I17,E21)+COUNTIF(H17:I17,"*,"&amp;E21&amp;",*")+COUNTIF(K17:L17,E21)+COUNTIF(K17:L17,"*,"&amp;E21&amp;",*")+COUNTIF(N17:O17,E21)+COUNTIF(N17:O17,"*,"&amp;E21&amp;",*")=0,"",COUNTIF(B5:C5,E21)+COUNTIF(B5:C5,"*,"&amp;E21&amp;",*")+COUNTIF(E5:F5,E21)+COUNTIF(E5:F5,"*,"&amp;E21&amp;",*")+COUNTIF(H5:I5,E21)+COUNTIF(H5:I5,"*,"&amp;E21&amp;",*")+COUNTIF(K5:L5,E21)+COUNTIF(K5:L5,"*,"&amp;E21&amp;",*")+COUNTIF(N5:O5,E21)+COUNTIF(N5:O5,"*,"&amp;E21&amp;",*")+COUNTIF(B7:C7,E21)+COUNTIF(B7:C7,"*,"&amp;E21&amp;",*")+COUNTIF(E7:F7,E21)+COUNTIF(E7:F7,"*,"&amp;E21&amp;",*")+COUNTIF(H7:I7,E21)+COUNTIF(H7:I7,"*,"&amp;E21&amp;",*")+COUNTIF(K7:L7,E21)+COUNTIF(K7:L7,"*,"&amp;E21&amp;",*")+COUNTIF(N7:O7,E21)+COUNTIF(N7:O7,"*,"&amp;E21&amp;",*")+COUNTIF(B9:C9,E21)+COUNTIF(B9:C9,"*,"&amp;E21&amp;",*")+COUNTIF(E9:F9,E21)+COUNTIF(E9:F9,"*,"&amp;E21&amp;",*")+COUNTIF(H9:I9,E21)+COUNTIF(H9:I9,"*,"&amp;E21&amp;",*")+COUNTIF(K9:L9,E21)+COUNTIF(K9:L9,"*,"&amp;E21&amp;",*")+COUNTIF(N9:O9,E21)+COUNTIF(N9:O9,"*,"&amp;E21&amp;",*")+COUNTIF(B11:C11,E21)+COUNTIF(B11:C11,"*,"&amp;E21&amp;",*")+COUNTIF(E11:F11,E21)+COUNTIF(E11:F11,"*,"&amp;E21&amp;",*")+COUNTIF(H11:I11,E21)+COUNTIF(H11:I11,"*,"&amp;E21&amp;",*")+COUNTIF(K11:L11,E21)+COUNTIF(K11:L11,"*,"&amp;E21&amp;",*")+COUNTIF(N11:O11,E21)+COUNTIF(N11:O11,"*,"&amp;E21&amp;",*")+COUNTIF(B13:C13,E21)+COUNTIF(B13:C13,"*,"&amp;E21&amp;",*")+COUNTIF(E13:F13,E21)+COUNTIF(E13:F13,"*,"&amp;E21&amp;",*")+COUNTIF(H13:I13,E21)+COUNTIF(H13:I13,"*,"&amp;E21&amp;",*")+COUNTIF(K13:L13,E21)+COUNTIF(K13:L13,"*,"&amp;E21&amp;",*")+COUNTIF(N13:O13,E21)+COUNTIF(N13:O13,"*,"&amp;E21&amp;",*")+COUNTIF(B15:C15,E21)+COUNTIF(B15:C15,"*,"&amp;E21&amp;",*")+COUNTIF(E15:F15,E21)+COUNTIF(E15:F15,"*,"&amp;E21&amp;",*")+COUNTIF(H15:I15,E21)+COUNTIF(H15:I15,"*,"&amp;E21&amp;",*")+COUNTIF(K15:L15,E21)+COUNTIF(K15:L15,"*,"&amp;E21&amp;",*")+COUNTIF(N15:O15,E21)+COUNTIF(N15:O15,"*,"&amp;E21&amp;",*")+COUNTIF(B17:C17,E21)+COUNTIF(B17:C17,"*,"&amp;E21&amp;",*")+COUNTIF(E17:F17,E21)+COUNTIF(E17:F17,"*,"&amp;E21&amp;",*")+COUNTIF(H17:I17,E21)+COUNTIF(H17:I17,"*,"&amp;E21&amp;",*")+COUNTIF(K17:L17,E21)+COUNTIF(K17:L17,"*,"&amp;E21&amp;",*")+COUNTIF(N17:O17,E21)+COUNTIF(N17:O17,"*,"&amp;E21&amp;",*")))</f>
        <v>1</v>
      </c>
      <c r="F24" s="21">
        <f>IF(F21="","",IF(COUNTIF(B5:C5,F21)+COUNTIF(B5:C5,"*,"&amp;F21&amp;",*")+COUNTIF(E5:F5,F21)+COUNTIF(E5:F5,"*,"&amp;F21&amp;",*")+COUNTIF(H5:I5,F21)+COUNTIF(H5:I5,"*,"&amp;F21&amp;",*")+COUNTIF(K5:L5,F21)+COUNTIF(K5:L5,"*,"&amp;F21&amp;",*")+COUNTIF(N5:O5,F21)+COUNTIF(N5:O5,"*,"&amp;F21&amp;",*")+COUNTIF(B7:C7,F21)+COUNTIF(B7:C7,"*,"&amp;F21&amp;",*")+COUNTIF(E7:F7,F21)+COUNTIF(E7:F7,"*,"&amp;F21&amp;",*")+COUNTIF(H7:I7,F21)+COUNTIF(H7:I7,"*,"&amp;F21&amp;",*")+COUNTIF(K7:L7,F21)+COUNTIF(K7:L7,"*,"&amp;F21&amp;",*")+COUNTIF(N7:O7,F21)+COUNTIF(N7:O7,"*,"&amp;F21&amp;",*")+COUNTIF(B9:C9,F21)+COUNTIF(B9:C9,"*,"&amp;F21&amp;",*")+COUNTIF(E9:F9,F21)+COUNTIF(E9:F9,"*,"&amp;F21&amp;",*")+COUNTIF(H9:I9,F21)+COUNTIF(H9:I9,"*,"&amp;F21&amp;",*")+COUNTIF(K9:L9,F21)+COUNTIF(K9:L9,"*,"&amp;F21&amp;",*")+COUNTIF(N9:O9,F21)+COUNTIF(N9:O9,"*,"&amp;F21&amp;",*")+COUNTIF(B11:C11,F21)+COUNTIF(B11:C11,"*,"&amp;F21&amp;",*")+COUNTIF(E11:F11,F21)+COUNTIF(E11:F11,"*,"&amp;F21&amp;",*")+COUNTIF(H11:I11,F21)+COUNTIF(H11:I11,"*,"&amp;F21&amp;",*")+COUNTIF(K11:L11,F21)+COUNTIF(K11:L11,"*,"&amp;F21&amp;",*")+COUNTIF(N11:O11,F21)+COUNTIF(N11:O11,"*,"&amp;F21&amp;",*")+COUNTIF(B13:C13,F21)+COUNTIF(B13:C13,"*,"&amp;F21&amp;",*")+COUNTIF(E13:F13,F21)+COUNTIF(E13:F13,"*,"&amp;F21&amp;",*")+COUNTIF(H13:I13,F21)+COUNTIF(H13:I13,"*,"&amp;F21&amp;",*")+COUNTIF(K13:L13,F21)+COUNTIF(K13:L13,"*,"&amp;F21&amp;",*")+COUNTIF(N13:O13,F21)+COUNTIF(N13:O13,"*,"&amp;F21&amp;",*")+COUNTIF(B15:C15,F21)+COUNTIF(B15:C15,"*,"&amp;F21&amp;",*")+COUNTIF(E15:F15,F21)+COUNTIF(E15:F15,"*,"&amp;F21&amp;",*")+COUNTIF(H15:I15,F21)+COUNTIF(H15:I15,"*,"&amp;F21&amp;",*")+COUNTIF(K15:L15,F21)+COUNTIF(K15:L15,"*,"&amp;F21&amp;",*")+COUNTIF(N15:O15,F21)+COUNTIF(N15:O15,"*,"&amp;F21&amp;",*")+COUNTIF(B17:C17,F21)+COUNTIF(B17:C17,"*,"&amp;F21&amp;",*")+COUNTIF(E17:F17,F21)+COUNTIF(E17:F17,"*,"&amp;F21&amp;",*")+COUNTIF(H17:I17,F21)+COUNTIF(H17:I17,"*,"&amp;F21&amp;",*")+COUNTIF(K17:L17,F21)+COUNTIF(K17:L17,"*,"&amp;F21&amp;",*")+COUNTIF(N17:O17,F21)+COUNTIF(N17:O17,"*,"&amp;F21&amp;",*")=0,"",COUNTIF(B5:C5,F21)+COUNTIF(B5:C5,"*,"&amp;F21&amp;",*")+COUNTIF(E5:F5,F21)+COUNTIF(E5:F5,"*,"&amp;F21&amp;",*")+COUNTIF(H5:I5,F21)+COUNTIF(H5:I5,"*,"&amp;F21&amp;",*")+COUNTIF(K5:L5,F21)+COUNTIF(K5:L5,"*,"&amp;F21&amp;",*")+COUNTIF(N5:O5,F21)+COUNTIF(N5:O5,"*,"&amp;F21&amp;",*")+COUNTIF(B7:C7,F21)+COUNTIF(B7:C7,"*,"&amp;F21&amp;",*")+COUNTIF(E7:F7,F21)+COUNTIF(E7:F7,"*,"&amp;F21&amp;",*")+COUNTIF(H7:I7,F21)+COUNTIF(H7:I7,"*,"&amp;F21&amp;",*")+COUNTIF(K7:L7,F21)+COUNTIF(K7:L7,"*,"&amp;F21&amp;",*")+COUNTIF(N7:O7,F21)+COUNTIF(N7:O7,"*,"&amp;F21&amp;",*")+COUNTIF(B9:C9,F21)+COUNTIF(B9:C9,"*,"&amp;F21&amp;",*")+COUNTIF(E9:F9,F21)+COUNTIF(E9:F9,"*,"&amp;F21&amp;",*")+COUNTIF(H9:I9,F21)+COUNTIF(H9:I9,"*,"&amp;F21&amp;",*")+COUNTIF(K9:L9,F21)+COUNTIF(K9:L9,"*,"&amp;F21&amp;",*")+COUNTIF(N9:O9,F21)+COUNTIF(N9:O9,"*,"&amp;F21&amp;",*")+COUNTIF(B11:C11,F21)+COUNTIF(B11:C11,"*,"&amp;F21&amp;",*")+COUNTIF(E11:F11,F21)+COUNTIF(E11:F11,"*,"&amp;F21&amp;",*")+COUNTIF(H11:I11,F21)+COUNTIF(H11:I11,"*,"&amp;F21&amp;",*")+COUNTIF(K11:L11,F21)+COUNTIF(K11:L11,"*,"&amp;F21&amp;",*")+COUNTIF(N11:O11,F21)+COUNTIF(N11:O11,"*,"&amp;F21&amp;",*")+COUNTIF(B13:C13,F21)+COUNTIF(B13:C13,"*,"&amp;F21&amp;",*")+COUNTIF(E13:F13,F21)+COUNTIF(E13:F13,"*,"&amp;F21&amp;",*")+COUNTIF(H13:I13,F21)+COUNTIF(H13:I13,"*,"&amp;F21&amp;",*")+COUNTIF(K13:L13,F21)+COUNTIF(K13:L13,"*,"&amp;F21&amp;",*")+COUNTIF(N13:O13,F21)+COUNTIF(N13:O13,"*,"&amp;F21&amp;",*")+COUNTIF(B15:C15,F21)+COUNTIF(B15:C15,"*,"&amp;F21&amp;",*")+COUNTIF(E15:F15,F21)+COUNTIF(E15:F15,"*,"&amp;F21&amp;",*")+COUNTIF(H15:I15,F21)+COUNTIF(H15:I15,"*,"&amp;F21&amp;",*")+COUNTIF(K15:L15,F21)+COUNTIF(K15:L15,"*,"&amp;F21&amp;",*")+COUNTIF(N15:O15,F21)+COUNTIF(N15:O15,"*,"&amp;F21&amp;",*")+COUNTIF(B17:C17,F21)+COUNTIF(B17:C17,"*,"&amp;F21&amp;",*")+COUNTIF(E17:F17,F21)+COUNTIF(E17:F17,"*,"&amp;F21&amp;",*")+COUNTIF(H17:I17,F21)+COUNTIF(H17:I17,"*,"&amp;F21&amp;",*")+COUNTIF(K17:L17,F21)+COUNTIF(K17:L17,"*,"&amp;F21&amp;",*")+COUNTIF(N17:O17,F21)+COUNTIF(N17:O17,"*,"&amp;F21&amp;",*")))</f>
        <v>1</v>
      </c>
      <c r="G24" s="21">
        <f>IF(G21="","",IF(COUNTIF(B5:C5,G21)+COUNTIF(B5:C5,"*,"&amp;G21&amp;",*")+COUNTIF(E5:F5,G21)+COUNTIF(E5:F5,"*,"&amp;G21&amp;",*")+COUNTIF(H5:I5,G21)+COUNTIF(H5:I5,"*,"&amp;G21&amp;",*")+COUNTIF(K5:L5,G21)+COUNTIF(K5:L5,"*,"&amp;G21&amp;",*")+COUNTIF(N5:O5,G21)+COUNTIF(N5:O5,"*,"&amp;G21&amp;",*")+COUNTIF(B7:C7,G21)+COUNTIF(B7:C7,"*,"&amp;G21&amp;",*")+COUNTIF(E7:F7,G21)+COUNTIF(E7:F7,"*,"&amp;G21&amp;",*")+COUNTIF(H7:I7,G21)+COUNTIF(H7:I7,"*,"&amp;G21&amp;",*")+COUNTIF(K7:L7,G21)+COUNTIF(K7:L7,"*,"&amp;G21&amp;",*")+COUNTIF(N7:O7,G21)+COUNTIF(N7:O7,"*,"&amp;G21&amp;",*")+COUNTIF(B9:C9,G21)+COUNTIF(B9:C9,"*,"&amp;G21&amp;",*")+COUNTIF(E9:F9,G21)+COUNTIF(E9:F9,"*,"&amp;G21&amp;",*")+COUNTIF(H9:I9,G21)+COUNTIF(H9:I9,"*,"&amp;G21&amp;",*")+COUNTIF(K9:L9,G21)+COUNTIF(K9:L9,"*,"&amp;G21&amp;",*")+COUNTIF(N9:O9,G21)+COUNTIF(N9:O9,"*,"&amp;G21&amp;",*")+COUNTIF(B11:C11,G21)+COUNTIF(B11:C11,"*,"&amp;G21&amp;",*")+COUNTIF(E11:F11,G21)+COUNTIF(E11:F11,"*,"&amp;G21&amp;",*")+COUNTIF(H11:I11,G21)+COUNTIF(H11:I11,"*,"&amp;G21&amp;",*")+COUNTIF(K11:L11,G21)+COUNTIF(K11:L11,"*,"&amp;G21&amp;",*")+COUNTIF(N11:O11,G21)+COUNTIF(N11:O11,"*,"&amp;G21&amp;",*")+COUNTIF(B13:C13,G21)+COUNTIF(B13:C13,"*,"&amp;G21&amp;",*")+COUNTIF(E13:F13,G21)+COUNTIF(E13:F13,"*,"&amp;G21&amp;",*")+COUNTIF(H13:I13,G21)+COUNTIF(H13:I13,"*,"&amp;G21&amp;",*")+COUNTIF(K13:L13,G21)+COUNTIF(K13:L13,"*,"&amp;G21&amp;",*")+COUNTIF(N13:O13,G21)+COUNTIF(N13:O13,"*,"&amp;G21&amp;",*")+COUNTIF(B15:C15,G21)+COUNTIF(B15:C15,"*,"&amp;G21&amp;",*")+COUNTIF(E15:F15,G21)+COUNTIF(E15:F15,"*,"&amp;G21&amp;",*")+COUNTIF(H15:I15,G21)+COUNTIF(H15:I15,"*,"&amp;G21&amp;",*")+COUNTIF(K15:L15,G21)+COUNTIF(K15:L15,"*,"&amp;G21&amp;",*")+COUNTIF(N15:O15,G21)+COUNTIF(N15:O15,"*,"&amp;G21&amp;",*")+COUNTIF(B17:C17,G21)+COUNTIF(B17:C17,"*,"&amp;G21&amp;",*")+COUNTIF(E17:F17,G21)+COUNTIF(E17:F17,"*,"&amp;G21&amp;",*")+COUNTIF(H17:I17,G21)+COUNTIF(H17:I17,"*,"&amp;G21&amp;",*")+COUNTIF(K17:L17,G21)+COUNTIF(K17:L17,"*,"&amp;G21&amp;",*")+COUNTIF(N17:O17,G21)+COUNTIF(N17:O17,"*,"&amp;G21&amp;",*")=0,"",COUNTIF(B5:C5,G21)+COUNTIF(B5:C5,"*,"&amp;G21&amp;",*")+COUNTIF(E5:F5,G21)+COUNTIF(E5:F5,"*,"&amp;G21&amp;",*")+COUNTIF(H5:I5,G21)+COUNTIF(H5:I5,"*,"&amp;G21&amp;",*")+COUNTIF(K5:L5,G21)+COUNTIF(K5:L5,"*,"&amp;G21&amp;",*")+COUNTIF(N5:O5,G21)+COUNTIF(N5:O5,"*,"&amp;G21&amp;",*")+COUNTIF(B7:C7,G21)+COUNTIF(B7:C7,"*,"&amp;G21&amp;",*")+COUNTIF(E7:F7,G21)+COUNTIF(E7:F7,"*,"&amp;G21&amp;",*")+COUNTIF(H7:I7,G21)+COUNTIF(H7:I7,"*,"&amp;G21&amp;",*")+COUNTIF(K7:L7,G21)+COUNTIF(K7:L7,"*,"&amp;G21&amp;",*")+COUNTIF(N7:O7,G21)+COUNTIF(N7:O7,"*,"&amp;G21&amp;",*")+COUNTIF(B9:C9,G21)+COUNTIF(B9:C9,"*,"&amp;G21&amp;",*")+COUNTIF(E9:F9,G21)+COUNTIF(E9:F9,"*,"&amp;G21&amp;",*")+COUNTIF(H9:I9,G21)+COUNTIF(H9:I9,"*,"&amp;G21&amp;",*")+COUNTIF(K9:L9,G21)+COUNTIF(K9:L9,"*,"&amp;G21&amp;",*")+COUNTIF(N9:O9,G21)+COUNTIF(N9:O9,"*,"&amp;G21&amp;",*")+COUNTIF(B11:C11,G21)+COUNTIF(B11:C11,"*,"&amp;G21&amp;",*")+COUNTIF(E11:F11,G21)+COUNTIF(E11:F11,"*,"&amp;G21&amp;",*")+COUNTIF(H11:I11,G21)+COUNTIF(H11:I11,"*,"&amp;G21&amp;",*")+COUNTIF(K11:L11,G21)+COUNTIF(K11:L11,"*,"&amp;G21&amp;",*")+COUNTIF(N11:O11,G21)+COUNTIF(N11:O11,"*,"&amp;G21&amp;",*")+COUNTIF(B13:C13,G21)+COUNTIF(B13:C13,"*,"&amp;G21&amp;",*")+COUNTIF(E13:F13,G21)+COUNTIF(E13:F13,"*,"&amp;G21&amp;",*")+COUNTIF(H13:I13,G21)+COUNTIF(H13:I13,"*,"&amp;G21&amp;",*")+COUNTIF(K13:L13,G21)+COUNTIF(K13:L13,"*,"&amp;G21&amp;",*")+COUNTIF(N13:O13,G21)+COUNTIF(N13:O13,"*,"&amp;G21&amp;",*")+COUNTIF(B15:C15,G21)+COUNTIF(B15:C15,"*,"&amp;G21&amp;",*")+COUNTIF(E15:F15,G21)+COUNTIF(E15:F15,"*,"&amp;G21&amp;",*")+COUNTIF(H15:I15,G21)+COUNTIF(H15:I15,"*,"&amp;G21&amp;",*")+COUNTIF(K15:L15,G21)+COUNTIF(K15:L15,"*,"&amp;G21&amp;",*")+COUNTIF(N15:O15,G21)+COUNTIF(N15:O15,"*,"&amp;G21&amp;",*")+COUNTIF(B17:C17,G21)+COUNTIF(B17:C17,"*,"&amp;G21&amp;",*")+COUNTIF(E17:F17,G21)+COUNTIF(E17:F17,"*,"&amp;G21&amp;",*")+COUNTIF(H17:I17,G21)+COUNTIF(H17:I17,"*,"&amp;G21&amp;",*")+COUNTIF(K17:L17,G21)+COUNTIF(K17:L17,"*,"&amp;G21&amp;",*")+COUNTIF(N17:O17,G21)+COUNTIF(N17:O17,"*,"&amp;G21&amp;",*")))</f>
        <v>1</v>
      </c>
      <c r="H24" s="21"/>
      <c r="I24" s="21"/>
      <c r="J24" s="21"/>
      <c r="K24" s="21"/>
      <c r="L24" s="21"/>
      <c r="M24" s="21" t="str">
        <f>IF(COUNTIF(B5:C5,"特活")+COUNTIF(B5:C5,"学活")+COUNTIF(E5:F5,"特活")+COUNTIF(E5:F5,"学活")+COUNTIF(H5:I5,"特活")+COUNTIF(H5:I5,"学活")+COUNTIF(K5:L5,"特活")+COUNTIF(K5:L5,"学活")+COUNTIF(N5:O5,"特活")+COUNTIF(N5:O5,"学活")+COUNTIF(B7:C7,"特活")+COUNTIF(B7:C7,"学活")+COUNTIF(E7:F7,"特活")+COUNTIF(E7:F7,"学活")+COUNTIF(H7:I7,"特活")+COUNTIF(H7:I7,"学活")+COUNTIF(K7:L7,"特活")+COUNTIF(K7:L7,"学活")+COUNTIF(N7:O7,"特活")+COUNTIF(N7:O7,"学活")+COUNTIF(B9:C9,"特活")+COUNTIF(B9:C9,"学活")+COUNTIF(E9:F9,"特活")+COUNTIF(E9:F9,"学活")+COUNTIF(H9:I9,"特活")+COUNTIF(H9:I9,"学活")+COUNTIF(K9:L9,"特活")+COUNTIF(K9:L9,"学活")+COUNTIF(N9:O9,"特活")+COUNTIF(N9:O9,"学活")+COUNTIF(B11:C11,"特活")+COUNTIF(B11:C11,"学活")+COUNTIF(E11:F11,"特活")+COUNTIF(E11:F11,"学活")+COUNTIF(H11:I11,"特活")+COUNTIF(H11:I11,"学活")+COUNTIF(K11:L11,"特活")+COUNTIF(K11:L11,"学活")+COUNTIF(N11:O11,"特活")+COUNTIF(N11:O11,"学活")+COUNTIF(B13:C13,"特活")+COUNTIF(B13:C13,"学活")+COUNTIF(E13:F13,"特活")+COUNTIF(E13:F13,"学活")+COUNTIF(H13:I13,"特活")+COUNTIF(H13:I13,"学活")+COUNTIF(K13:L13,"特活")+COUNTIF(K13:L13,"学活")+COUNTIF(N13:O13,"特活")+COUNTIF(N13:O13,"学活")+COUNTIF(B15:C15,"特活")+COUNTIF(B15:C15,"学活")+COUNTIF(E15:F15,"特活")+COUNTIF(E15:F15,"学活")+COUNTIF(H15:I15,"特活")+COUNTIF(H15:I15,"学活")+COUNTIF(K15:L15,"特活")+COUNTIF(K15:L15,"学活")+COUNTIF(N15:O15,"特活")+COUNTIF(N15:O15,"学活")+COUNTIF(B17:C17,"特活")+COUNTIF(B17:C17,"学活")+COUNTIF(E17:F17,"特活")+COUNTIF(E17:F17,"学活")+COUNTIF(H17:I17,"特活")+COUNTIF(H17:I17,"学活")+COUNTIF(K17:L17,"特活")+COUNTIF(K17:L17,"学活")+COUNTIF(N17:O17,"特活")+COUNTIF(N17:O17,"学活")=0,"",COUNTIF(B5:C5,"特活")+COUNTIF(B5:C5,"学活")+COUNTIF(E5:F5,"特活")+COUNTIF(E5:F5,"学活")+COUNTIF(H5:I5,"特活")+COUNTIF(H5:I5,"学活")+COUNTIF(K5:L5,"特活")+COUNTIF(K5:L5,"学活")+COUNTIF(N5:O5,"特活")+COUNTIF(N5:O5,"学活")+COUNTIF(B7:C7,"特活")+COUNTIF(B7:C7,"学活")+COUNTIF(E7:F7,"特活")+COUNTIF(E7:F7,"学活")+COUNTIF(H7:I7,"特活")+COUNTIF(H7:I7,"学活")+COUNTIF(K7:L7,"特活")+COUNTIF(K7:L7,"学活")+COUNTIF(N7:O7,"特活")+COUNTIF(N7:O7,"学活")+COUNTIF(B9:C9,"特活")+COUNTIF(B9:C9,"学活")+COUNTIF(E9:F9,"特活")+COUNTIF(E9:F9,"学活")+COUNTIF(H9:I9,"特活")+COUNTIF(H9:I9,"学活")+COUNTIF(K9:L9,"特活")+COUNTIF(K9:L9,"学活")+COUNTIF(N9:O9,"特活")+COUNTIF(N9:O9,"学活")+COUNTIF(B11:C11,"特活")+COUNTIF(B11:C11,"学活")+COUNTIF(E11:F11,"特活")+COUNTIF(E11:F11,"学活")+COUNTIF(H11:I11,"特活")+COUNTIF(H11:I11,"学活")+COUNTIF(K11:L11,"特活")+COUNTIF(K11:L11,"学活")+COUNTIF(N11:O11,"特活")+COUNTIF(N11:O11,"学活")+COUNTIF(B13:C13,"特活")+COUNTIF(B13:C13,"学活")+COUNTIF(E13:F13,"特活")+COUNTIF(E13:F13,"学活")+COUNTIF(H13:I13,"特活")+COUNTIF(H13:I13,"学活")+COUNTIF(K13:L13,"特活")+COUNTIF(K13:L13,"学活")+COUNTIF(N13:O13,"特活")+COUNTIF(N13:O13,"学活")+COUNTIF(B15:C15,"特活")+COUNTIF(B15:C15,"学活")+COUNTIF(E15:F15,"特活")+COUNTIF(E15:F15,"学活")+COUNTIF(H15:I15,"特活")+COUNTIF(H15:I15,"学活")+COUNTIF(K15:L15,"特活")+COUNTIF(K15:L15,"学活")+COUNTIF(N15:O15,"特活")+COUNTIF(N15:O15,"学活")+COUNTIF(B17:C17,"特活")+COUNTIF(B17:C17,"学活")+COUNTIF(E17:F17,"特活")+COUNTIF(E17:F17,"学活")+COUNTIF(H17:I17,"特活")+COUNTIF(H17:I17,"学活")+COUNTIF(K17:L17,"特活")+COUNTIF(K17:L17,"学活")+COUNTIF(N17:O17,"特活")+COUNTIF(N17:O17,"学活"))</f>
        <v/>
      </c>
      <c r="N24" s="21">
        <f>IF(COUNTIF(B5:C5,N21)+COUNTIF(B5:C5,"*,"&amp;N21&amp;",*")+COUNTIF(E5:F5,N21)+COUNTIF(E5:F5,"*,"&amp;N21&amp;",*")+COUNTIF(H5:I5,N21)+COUNTIF(H5:I5,"*,"&amp;N21&amp;",*")+COUNTIF(K5:L5,N21)+COUNTIF(K5:L5,"*,"&amp;N21&amp;",*")+COUNTIF(N5:O5,N21)+COUNTIF(N5:O5,"*,"&amp;N21&amp;",*")+COUNTIF(B7:C7,N21)+COUNTIF(B7:C7,"*,"&amp;N21&amp;",*")+COUNTIF(E7:F7,N21)+COUNTIF(E7:F7,"*,"&amp;N21&amp;",*")+COUNTIF(H7:I7,N21)+COUNTIF(H7:I7,"*,"&amp;N21&amp;",*")+COUNTIF(K7:L7,N21)+COUNTIF(K7:L7,"*,"&amp;N21&amp;",*")+COUNTIF(N7:O7,N21)+COUNTIF(N7:O7,"*,"&amp;N21&amp;",*")+COUNTIF(B9:C9,N21)+COUNTIF(B9:C9,"*,"&amp;N21&amp;",*")+COUNTIF(E9:F9,N21)+COUNTIF(E9:F9,"*,"&amp;N21&amp;",*")+COUNTIF(H9:I9,N21)+COUNTIF(H9:I9,"*,"&amp;N21&amp;",*")+COUNTIF(K9:L9,N21)+COUNTIF(K9:L9,"*,"&amp;N21&amp;",*")+COUNTIF(N9:O9,N21)+COUNTIF(N9:O9,"*,"&amp;N21&amp;",*")+COUNTIF(B11:C11,N21)+COUNTIF(B11:C11,"*,"&amp;N21&amp;",*")+COUNTIF(E11:F11,N21)+COUNTIF(E11:F11,"*,"&amp;N21&amp;",*")+COUNTIF(H11:I11,N21)+COUNTIF(H11:I11,"*,"&amp;N21&amp;",*")+COUNTIF(K11:L11,N21)+COUNTIF(K11:L11,"*,"&amp;N21&amp;",*")+COUNTIF(N11:O11,N21)+COUNTIF(N11:O11,"*,"&amp;N21&amp;",*")+COUNTIF(B13:C13,N21)+COUNTIF(B13:C13,"*,"&amp;N21&amp;",*")+COUNTIF(E13:F13,N21)+COUNTIF(E13:F13,"*,"&amp;N21&amp;",*")+COUNTIF(H13:I13,N21)+COUNTIF(H13:I13,"*,"&amp;N21&amp;",*")+COUNTIF(K13:L13,N21)+COUNTIF(K13:L13,"*,"&amp;N21&amp;",*")+COUNTIF(N13:O13,N21)+COUNTIF(N13:O13,"*,"&amp;N21&amp;",*")+COUNTIF(B15:C15,N21)+COUNTIF(B15:C15,"*,"&amp;N21&amp;",*")+COUNTIF(E15:F15,N21)+COUNTIF(E15:F15,"*,"&amp;N21&amp;",*")+COUNTIF(H15:I15,N21)+COUNTIF(H15:I15,"*,"&amp;N21&amp;",*")+COUNTIF(K15:L15,N21)+COUNTIF(K15:L15,"*,"&amp;N21&amp;",*")+COUNTIF(N15:O15,N21)+COUNTIF(N15:O15,"*,"&amp;N21&amp;",*")+COUNTIF(B17:C17,N21)+COUNTIF(B17:C17,"*,"&amp;N21&amp;",*")+COUNTIF(E17:F17,N21)+COUNTIF(E17:F17,"*,"&amp;N21&amp;",*")+COUNTIF(H17:I17,N21)+COUNTIF(H17:I17,"*,"&amp;N21&amp;",*")+COUNTIF(K17:L17,N21)+COUNTIF(K17:L17,"*,"&amp;N21&amp;",*")+COUNTIF(N17:O17,N21)+COUNTIF(N17:O17,"*,"&amp;N21&amp;",*")=0,"",COUNTIF(B5:C5,N21)+COUNTIF(B5:C5,"*,"&amp;N21&amp;",*")+COUNTIF(E5:F5,N21)+COUNTIF(E5:F5,"*,"&amp;N21&amp;",*")+COUNTIF(H5:I5,N21)+COUNTIF(H5:I5,"*,"&amp;N21&amp;",*")+COUNTIF(K5:L5,N21)+COUNTIF(K5:L5,"*,"&amp;N21&amp;",*")+COUNTIF(N5:O5,N21)+COUNTIF(N5:O5,"*,"&amp;N21&amp;",*")+COUNTIF(B7:C7,N21)+COUNTIF(B7:C7,"*,"&amp;N21&amp;",*")+COUNTIF(E7:F7,N21)+COUNTIF(E7:F7,"*,"&amp;N21&amp;",*")+COUNTIF(H7:I7,N21)+COUNTIF(H7:I7,"*,"&amp;N21&amp;",*")+COUNTIF(K7:L7,N21)+COUNTIF(K7:L7,"*,"&amp;N21&amp;",*")+COUNTIF(N7:O7,N21)+COUNTIF(N7:O7,"*,"&amp;N21&amp;",*")+COUNTIF(B9:C9,N21)+COUNTIF(B9:C9,"*,"&amp;N21&amp;",*")+COUNTIF(E9:F9,N21)+COUNTIF(E9:F9,"*,"&amp;N21&amp;",*")+COUNTIF(H9:I9,N21)+COUNTIF(H9:I9,"*,"&amp;N21&amp;",*")+COUNTIF(K9:L9,N21)+COUNTIF(K9:L9,"*,"&amp;N21&amp;",*")+COUNTIF(N9:O9,N21)+COUNTIF(N9:O9,"*,"&amp;N21&amp;",*")+COUNTIF(B11:C11,N21)+COUNTIF(B11:C11,"*,"&amp;N21&amp;",*")+COUNTIF(E11:F11,N21)+COUNTIF(E11:F11,"*,"&amp;N21&amp;",*")+COUNTIF(H11:I11,N21)+COUNTIF(H11:I11,"*,"&amp;N21&amp;",*")+COUNTIF(K11:L11,N21)+COUNTIF(K11:L11,"*,"&amp;N21&amp;",*")+COUNTIF(N11:O11,N21)+COUNTIF(N11:O11,"*,"&amp;N21&amp;",*")+COUNTIF(B13:C13,N21)+COUNTIF(B13:C13,"*,"&amp;N21&amp;",*")+COUNTIF(E13:F13,N21)+COUNTIF(E13:F13,"*,"&amp;N21&amp;",*")+COUNTIF(H13:I13,N21)+COUNTIF(H13:I13,"*,"&amp;N21&amp;",*")+COUNTIF(K13:L13,N21)+COUNTIF(K13:L13,"*,"&amp;N21&amp;",*")+COUNTIF(N13:O13,N21)+COUNTIF(N13:O13,"*,"&amp;N21&amp;",*")+COUNTIF(B15:C15,N21)+COUNTIF(B15:C15,"*,"&amp;N21&amp;",*")+COUNTIF(E15:F15,N21)+COUNTIF(E15:F15,"*,"&amp;N21&amp;",*")+COUNTIF(H15:I15,N21)+COUNTIF(H15:I15,"*,"&amp;N21&amp;",*")+COUNTIF(K15:L15,N21)+COUNTIF(K15:L15,"*,"&amp;N21&amp;",*")+COUNTIF(N15:O15,N21)+COUNTIF(N15:O15,"*,"&amp;N21&amp;",*")+COUNTIF(B17:C17,N21)+COUNTIF(B17:C17,"*,"&amp;N21&amp;",*")+COUNTIF(E17:F17,N21)+COUNTIF(E17:F17,"*,"&amp;N21&amp;",*")+COUNTIF(H17:I17,N21)+COUNTIF(H17:I17,"*,"&amp;N21&amp;",*")+COUNTIF(K17:L17,N21)+COUNTIF(K17:L17,"*,"&amp;N21&amp;",*")+COUNTIF(N17:O17,N21)+COUNTIF(N17:O17,"*,"&amp;N21&amp;",*"))</f>
        <v>1</v>
      </c>
      <c r="O24" s="21">
        <f>IF(COUNTIF(B5:C5,O21)+COUNTIF(B5:C5,"*,"&amp;O21&amp;",*")+COUNTIF(E5:F5,O21)+COUNTIF(E5:F5,"*,"&amp;O21&amp;",*")+COUNTIF(H5:I5,O21)+COUNTIF(H5:I5,"*,"&amp;O21&amp;",*")+COUNTIF(K5:L5,O21)+COUNTIF(K5:L5,"*,"&amp;O21&amp;",*")+COUNTIF(N5:O5,O21)+COUNTIF(N5:O5,"*,"&amp;O21&amp;",*")+COUNTIF(B7:C7,O21)+COUNTIF(B7:C7,"*,"&amp;O21&amp;",*")+COUNTIF(E7:F7,O21)+COUNTIF(E7:F7,"*,"&amp;O21&amp;",*")+COUNTIF(H7:I7,O21)+COUNTIF(H7:I7,"*,"&amp;O21&amp;",*")+COUNTIF(K7:L7,O21)+COUNTIF(K7:L7,"*,"&amp;O21&amp;",*")+COUNTIF(N7:O7,O21)+COUNTIF(N7:O7,"*,"&amp;O21&amp;",*")+COUNTIF(B9:C9,O21)+COUNTIF(B9:C9,"*,"&amp;O21&amp;",*")+COUNTIF(E9:F9,O21)+COUNTIF(E9:F9,"*,"&amp;O21&amp;",*")+COUNTIF(H9:I9,O21)+COUNTIF(H9:I9,"*,"&amp;O21&amp;",*")+COUNTIF(K9:L9,O21)+COUNTIF(K9:L9,"*,"&amp;O21&amp;",*")+COUNTIF(N9:O9,O21)+COUNTIF(N9:O9,"*,"&amp;O21&amp;",*")+COUNTIF(B11:C11,O21)+COUNTIF(B11:C11,"*,"&amp;O21&amp;",*")+COUNTIF(E11:F11,O21)+COUNTIF(E11:F11,"*,"&amp;O21&amp;",*")+COUNTIF(H11:I11,O21)+COUNTIF(H11:I11,"*,"&amp;O21&amp;",*")+COUNTIF(K11:L11,O21)+COUNTIF(K11:L11,"*,"&amp;O21&amp;",*")+COUNTIF(N11:O11,O21)+COUNTIF(N11:O11,"*,"&amp;O21&amp;",*")+COUNTIF(B13:C13,O21)+COUNTIF(B13:C13,"*,"&amp;O21&amp;",*")+COUNTIF(E13:F13,O21)+COUNTIF(E13:F13,"*,"&amp;O21&amp;",*")+COUNTIF(H13:I13,O21)+COUNTIF(H13:I13,"*,"&amp;O21&amp;",*")+COUNTIF(K13:L13,O21)+COUNTIF(K13:L13,"*,"&amp;O21&amp;",*")+COUNTIF(N13:O13,O21)+COUNTIF(N13:O13,"*,"&amp;O21&amp;",*")+COUNTIF(B15:C15,O21)+COUNTIF(B15:C15,"*,"&amp;O21&amp;",*")+COUNTIF(E15:F15,O21)+COUNTIF(E15:F15,"*,"&amp;O21&amp;",*")+COUNTIF(H15:I15,O21)+COUNTIF(H15:I15,"*,"&amp;O21&amp;",*")+COUNTIF(K15:L15,O21)+COUNTIF(K15:L15,"*,"&amp;O21&amp;",*")+COUNTIF(N15:O15,O21)+COUNTIF(N15:O15,"*,"&amp;O21&amp;",*")+COUNTIF(B17:C17,O21)+COUNTIF(B17:C17,"*,"&amp;O21&amp;",*")+COUNTIF(E17:F17,O21)+COUNTIF(E17:F17,"*,"&amp;O21&amp;",*")+COUNTIF(H17:I17,O21)+COUNTIF(H17:I17,"*,"&amp;O21&amp;",*")+COUNTIF(K17:L17,O21)+COUNTIF(K17:L17,"*,"&amp;O21&amp;",*")+COUNTIF(N17:O17,O21)+COUNTIF(N17:O17,"*,"&amp;O21&amp;",*")=0,"",COUNTIF(B5:C5,O21)+COUNTIF(B5:C5,"*,"&amp;O21&amp;",*")+COUNTIF(E5:F5,O21)+COUNTIF(E5:F5,"*,"&amp;O21&amp;",*")+COUNTIF(H5:I5,O21)+COUNTIF(H5:I5,"*,"&amp;O21&amp;",*")+COUNTIF(K5:L5,O21)+COUNTIF(K5:L5,"*,"&amp;O21&amp;",*")+COUNTIF(N5:O5,O21)+COUNTIF(N5:O5,"*,"&amp;O21&amp;",*")+COUNTIF(B7:C7,O21)+COUNTIF(B7:C7,"*,"&amp;O21&amp;",*")+COUNTIF(E7:F7,O21)+COUNTIF(E7:F7,"*,"&amp;O21&amp;",*")+COUNTIF(H7:I7,O21)+COUNTIF(H7:I7,"*,"&amp;O21&amp;",*")+COUNTIF(K7:L7,O21)+COUNTIF(K7:L7,"*,"&amp;O21&amp;",*")+COUNTIF(N7:O7,O21)+COUNTIF(N7:O7,"*,"&amp;O21&amp;",*")+COUNTIF(B9:C9,O21)+COUNTIF(B9:C9,"*,"&amp;O21&amp;",*")+COUNTIF(E9:F9,O21)+COUNTIF(E9:F9,"*,"&amp;O21&amp;",*")+COUNTIF(H9:I9,O21)+COUNTIF(H9:I9,"*,"&amp;O21&amp;",*")+COUNTIF(K9:L9,O21)+COUNTIF(K9:L9,"*,"&amp;O21&amp;",*")+COUNTIF(N9:O9,O21)+COUNTIF(N9:O9,"*,"&amp;O21&amp;",*")+COUNTIF(B11:C11,O21)+COUNTIF(B11:C11,"*,"&amp;O21&amp;",*")+COUNTIF(E11:F11,O21)+COUNTIF(E11:F11,"*,"&amp;O21&amp;",*")+COUNTIF(H11:I11,O21)+COUNTIF(H11:I11,"*,"&amp;O21&amp;",*")+COUNTIF(K11:L11,O21)+COUNTIF(K11:L11,"*,"&amp;O21&amp;",*")+COUNTIF(N11:O11,O21)+COUNTIF(N11:O11,"*,"&amp;O21&amp;",*")+COUNTIF(B13:C13,O21)+COUNTIF(B13:C13,"*,"&amp;O21&amp;",*")+COUNTIF(E13:F13,O21)+COUNTIF(E13:F13,"*,"&amp;O21&amp;",*")+COUNTIF(H13:I13,O21)+COUNTIF(H13:I13,"*,"&amp;O21&amp;",*")+COUNTIF(K13:L13,O21)+COUNTIF(K13:L13,"*,"&amp;O21&amp;",*")+COUNTIF(N13:O13,O21)+COUNTIF(N13:O13,"*,"&amp;O21&amp;",*")+COUNTIF(B15:C15,O21)+COUNTIF(B15:C15,"*,"&amp;O21&amp;",*")+COUNTIF(E15:F15,O21)+COUNTIF(E15:F15,"*,"&amp;O21&amp;",*")+COUNTIF(H15:I15,O21)+COUNTIF(H15:I15,"*,"&amp;O21&amp;",*")+COUNTIF(K15:L15,O21)+COUNTIF(K15:L15,"*,"&amp;O21&amp;",*")+COUNTIF(N15:O15,O21)+COUNTIF(N15:O15,"*,"&amp;O21&amp;",*")+COUNTIF(B17:C17,O21)+COUNTIF(B17:C17,"*,"&amp;O21&amp;",*")+COUNTIF(E17:F17,O21)+COUNTIF(E17:F17,"*,"&amp;O21&amp;",*")+COUNTIF(H17:I17,O21)+COUNTIF(H17:I17,"*,"&amp;O21&amp;",*")+COUNTIF(K17:L17,O21)+COUNTIF(K17:L17,"*,"&amp;O21&amp;",*")+COUNTIF(N17:O17,O21)+COUNTIF(N17:O17,"*,"&amp;O21&amp;",*"))</f>
        <v>1</v>
      </c>
      <c r="P24" s="22">
        <f>IF(SUM(B24:O24)=0,"",SUM(B24:O24))</f>
        <v>15</v>
      </c>
    </row>
    <row r="25" spans="1:16" ht="13.5" customHeight="1" x14ac:dyDescent="0.2">
      <c r="A25" s="23" t="s">
        <v>63</v>
      </c>
      <c r="B25" s="26">
        <v>8</v>
      </c>
      <c r="C25" s="26">
        <v>7</v>
      </c>
      <c r="D25" s="26">
        <v>5</v>
      </c>
      <c r="E25" s="26">
        <v>2</v>
      </c>
      <c r="F25" s="26">
        <v>1</v>
      </c>
      <c r="G25" s="26">
        <v>2</v>
      </c>
      <c r="H25" s="26"/>
      <c r="I25" s="26"/>
      <c r="J25" s="26"/>
      <c r="K25" s="26"/>
      <c r="L25" s="26"/>
      <c r="M25" s="26">
        <v>19</v>
      </c>
      <c r="N25" s="26">
        <v>1</v>
      </c>
      <c r="O25" s="24">
        <v>4</v>
      </c>
      <c r="P25" s="18">
        <f>IF(SUM(B25:O25)=0,"",SUM(B25:O25))</f>
        <v>49</v>
      </c>
    </row>
  </sheetData>
  <sheetProtection sheet="1" objects="1" scenarios="1"/>
  <mergeCells count="104">
    <mergeCell ref="A1:G1"/>
    <mergeCell ref="I1:J1"/>
    <mergeCell ref="K1:L1"/>
    <mergeCell ref="M1:N1"/>
    <mergeCell ref="O1:P1"/>
    <mergeCell ref="A2:A3"/>
    <mergeCell ref="B2:D2"/>
    <mergeCell ref="E2:G2"/>
    <mergeCell ref="H2:J2"/>
    <mergeCell ref="K2:M2"/>
    <mergeCell ref="A5:A6"/>
    <mergeCell ref="B5:C5"/>
    <mergeCell ref="E5:F5"/>
    <mergeCell ref="H5:I5"/>
    <mergeCell ref="K5:L5"/>
    <mergeCell ref="N2:P2"/>
    <mergeCell ref="B3:D3"/>
    <mergeCell ref="E3:G3"/>
    <mergeCell ref="H3:J3"/>
    <mergeCell ref="K3:M3"/>
    <mergeCell ref="N3:P3"/>
    <mergeCell ref="N5:O5"/>
    <mergeCell ref="B6:D6"/>
    <mergeCell ref="E6:G6"/>
    <mergeCell ref="H6:J6"/>
    <mergeCell ref="K6:M6"/>
    <mergeCell ref="N6:P6"/>
    <mergeCell ref="B4:D4"/>
    <mergeCell ref="E4:G4"/>
    <mergeCell ref="H4:J4"/>
    <mergeCell ref="K4:M4"/>
    <mergeCell ref="N4:P4"/>
    <mergeCell ref="N8:P8"/>
    <mergeCell ref="A9:A10"/>
    <mergeCell ref="B9:C9"/>
    <mergeCell ref="E9:F9"/>
    <mergeCell ref="H9:I9"/>
    <mergeCell ref="K9:L9"/>
    <mergeCell ref="N9:O9"/>
    <mergeCell ref="B10:D10"/>
    <mergeCell ref="E10:G10"/>
    <mergeCell ref="H10:J10"/>
    <mergeCell ref="A7:A8"/>
    <mergeCell ref="B7:C7"/>
    <mergeCell ref="E7:F7"/>
    <mergeCell ref="H7:I7"/>
    <mergeCell ref="K7:L7"/>
    <mergeCell ref="N7:O7"/>
    <mergeCell ref="B8:D8"/>
    <mergeCell ref="E8:G8"/>
    <mergeCell ref="H8:J8"/>
    <mergeCell ref="K8:M8"/>
    <mergeCell ref="K10:M10"/>
    <mergeCell ref="N10:P10"/>
    <mergeCell ref="A11:A12"/>
    <mergeCell ref="B11:C11"/>
    <mergeCell ref="E11:F11"/>
    <mergeCell ref="H11:I11"/>
    <mergeCell ref="K11:L11"/>
    <mergeCell ref="N11:O11"/>
    <mergeCell ref="B12:D12"/>
    <mergeCell ref="E12:G12"/>
    <mergeCell ref="H12:J12"/>
    <mergeCell ref="K12:M12"/>
    <mergeCell ref="N12:P12"/>
    <mergeCell ref="A13:A14"/>
    <mergeCell ref="B13:C13"/>
    <mergeCell ref="E13:F13"/>
    <mergeCell ref="H13:I13"/>
    <mergeCell ref="K13:L13"/>
    <mergeCell ref="N13:O13"/>
    <mergeCell ref="B14:D14"/>
    <mergeCell ref="E14:G14"/>
    <mergeCell ref="H14:J14"/>
    <mergeCell ref="K14:M14"/>
    <mergeCell ref="N14:P14"/>
    <mergeCell ref="A15:A16"/>
    <mergeCell ref="B15:C15"/>
    <mergeCell ref="E15:F15"/>
    <mergeCell ref="H15:I15"/>
    <mergeCell ref="K15:L15"/>
    <mergeCell ref="N15:O15"/>
    <mergeCell ref="B16:D16"/>
    <mergeCell ref="E16:G16"/>
    <mergeCell ref="H16:J16"/>
    <mergeCell ref="K16:M16"/>
    <mergeCell ref="N16:P16"/>
    <mergeCell ref="N19:P19"/>
    <mergeCell ref="A23:A24"/>
    <mergeCell ref="N17:O17"/>
    <mergeCell ref="B18:D18"/>
    <mergeCell ref="E18:G18"/>
    <mergeCell ref="H18:J18"/>
    <mergeCell ref="K18:M18"/>
    <mergeCell ref="N18:P18"/>
    <mergeCell ref="A17:A18"/>
    <mergeCell ref="B17:C17"/>
    <mergeCell ref="E17:F17"/>
    <mergeCell ref="H17:I17"/>
    <mergeCell ref="K17:L17"/>
    <mergeCell ref="B19:D19"/>
    <mergeCell ref="E19:G19"/>
    <mergeCell ref="H19:J19"/>
    <mergeCell ref="K19:M19"/>
  </mergeCells>
  <phoneticPr fontId="5"/>
  <dataValidations count="1">
    <dataValidation type="list" allowBlank="1" showInputMessage="1" sqref="D5 P17 M17 J17 G17 D17 P15 M15 J15 G15 D15 P13 M13 J13 G13 D13 P11 M11 J11 G11 D11 P9 M9 J9 G9 D9 P7 M7 J7 G7 D7 P5 M5 J5 G5" xr:uid="{ABDCB56E-6A5B-43CA-BEE0-B2FE9C668893}">
      <formula1>"×,月1,月2,月3,月4,月5,月6,月7,火1,火2,火3,火4,火5,火6,火7,水1,水2,水3,水4,水5,水6,水7,木1,木2,木3,木4,木5,木6,木7,金1,金2,金3,金4,金5,金6,金7"</formula1>
    </dataValidation>
  </dataValidations>
  <printOptions horizontalCentered="1"/>
  <pageMargins left="0.78740157480314965" right="0.78740157480314965" top="0.78740157480314965" bottom="0.78740157480314965" header="0" footer="0"/>
  <pageSetup paperSize="9" scale="93"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tn_0">
              <controlPr defaultSize="0" print="0" autoFill="0" autoPict="0" macro="[0]!ボタン_新しい週">
                <anchor moveWithCells="1" sizeWithCells="1">
                  <from>
                    <xdr:col>17</xdr:col>
                    <xdr:colOff>57150</xdr:colOff>
                    <xdr:row>3</xdr:row>
                    <xdr:rowOff>31750</xdr:rowOff>
                  </from>
                  <to>
                    <xdr:col>18</xdr:col>
                    <xdr:colOff>533400</xdr:colOff>
                    <xdr:row>3</xdr:row>
                    <xdr:rowOff>336550</xdr:rowOff>
                  </to>
                </anchor>
              </controlPr>
            </control>
          </mc:Choice>
        </mc:AlternateContent>
        <mc:AlternateContent xmlns:mc="http://schemas.openxmlformats.org/markup-compatibility/2006">
          <mc:Choice Requires="x14">
            <control shapeId="7170" r:id="rId5" name="Btn_1">
              <controlPr defaultSize="0" print="0" autoFill="0" autoPict="0" macro="[0]!ボタン_時間割展開">
                <anchor moveWithCells="1" sizeWithCells="1">
                  <from>
                    <xdr:col>17</xdr:col>
                    <xdr:colOff>57150</xdr:colOff>
                    <xdr:row>3</xdr:row>
                    <xdr:rowOff>438150</xdr:rowOff>
                  </from>
                  <to>
                    <xdr:col>18</xdr:col>
                    <xdr:colOff>533400</xdr:colOff>
                    <xdr:row>4</xdr:row>
                    <xdr:rowOff>50800</xdr:rowOff>
                  </to>
                </anchor>
              </controlPr>
            </control>
          </mc:Choice>
        </mc:AlternateContent>
        <mc:AlternateContent xmlns:mc="http://schemas.openxmlformats.org/markup-compatibility/2006">
          <mc:Choice Requires="x14">
            <control shapeId="7171" r:id="rId6" name="Btn_2">
              <controlPr defaultSize="0" print="0" autoFill="0" autoPict="0" macro="[0]!ボタン_累計更新">
                <anchor moveWithCells="1" sizeWithCells="1">
                  <from>
                    <xdr:col>17</xdr:col>
                    <xdr:colOff>57150</xdr:colOff>
                    <xdr:row>4</xdr:row>
                    <xdr:rowOff>146050</xdr:rowOff>
                  </from>
                  <to>
                    <xdr:col>18</xdr:col>
                    <xdr:colOff>533400</xdr:colOff>
                    <xdr:row>5</xdr:row>
                    <xdr:rowOff>222250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xr:uid="{CD3F29F6-58EA-4130-9970-A59D34F46E34}">
          <x14:formula1>
            <xm:f>基本設定!$B$6:$B$20</xm:f>
          </x14:formula1>
          <xm:sqref>B5 N19 K19 H19 E19 B19 N17 K17 H17 E17 B17 N15 K15 H15 E15 B15 N13 K13 H13 E13 B13 N11 K11 H11 E11 B11 N9 K9 H9 E9 B9 N7 K7 H7 E7 B7 N5 K5 H5 E5</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6</vt:i4>
      </vt:variant>
      <vt:variant>
        <vt:lpstr>名前付き一覧</vt:lpstr>
      </vt:variant>
      <vt:variant>
        <vt:i4>4</vt:i4>
      </vt:variant>
    </vt:vector>
  </HeadingPairs>
  <TitlesOfParts>
    <vt:vector size="10" baseType="lpstr">
      <vt:lpstr>基本設定</vt:lpstr>
      <vt:lpstr>時間割マスター</vt:lpstr>
      <vt:lpstr>週案_テンプレート</vt:lpstr>
      <vt:lpstr>第01週</vt:lpstr>
      <vt:lpstr>第02週</vt:lpstr>
      <vt:lpstr>第03週</vt:lpstr>
      <vt:lpstr>週案_テンプレート!Print_Area</vt:lpstr>
      <vt:lpstr>第01週!Print_Area</vt:lpstr>
      <vt:lpstr>第02週!Print_Area</vt:lpstr>
      <vt:lpstr>第03週!Print_Area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弘 上嶌</cp:lastModifiedBy>
  <dcterms:created xsi:type="dcterms:W3CDTF">2026-03-22T08:44:11Z</dcterms:created>
  <dcterms:modified xsi:type="dcterms:W3CDTF">2026-04-29T01:33:47Z</dcterms:modified>
</cp:coreProperties>
</file>