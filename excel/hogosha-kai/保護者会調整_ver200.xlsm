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G:\学級\R5 2-5\保護者会希望調整マクロ\"/>
    </mc:Choice>
  </mc:AlternateContent>
  <xr:revisionPtr revIDLastSave="0" documentId="13_ncr:1_{6C9CCAFE-7B78-4425-BEB4-F001873ACFC2}" xr6:coauthVersionLast="36" xr6:coauthVersionMax="47" xr10:uidLastSave="{00000000-0000-0000-0000-000000000000}"/>
  <bookViews>
    <workbookView xWindow="-105" yWindow="-105" windowWidth="23250" windowHeight="12570" activeTab="2" xr2:uid="{00000000-000D-0000-FFFF-FFFF00000000}"/>
  </bookViews>
  <sheets>
    <sheet name="Start!" sheetId="13" r:id="rId1"/>
    <sheet name="名簿" sheetId="1" r:id="rId2"/>
    <sheet name="希望入力" sheetId="9" r:id="rId3"/>
    <sheet name="元_予定表" sheetId="11" state="hidden" r:id="rId4"/>
  </sheets>
  <functionGroups builtInGroupCount="19"/>
  <definedNames>
    <definedName name="FIRST">希望入力!$D$2</definedName>
    <definedName name="LastRow">希望入力!$D$52:$BK$52</definedName>
    <definedName name="NAMES">希望入力!$A$2:$C$52</definedName>
    <definedName name="_xlnm.Print_Area" localSheetId="2">希望入力!$A$1:$C$45</definedName>
    <definedName name="_xlnm.Print_Area" localSheetId="3">元_予定表!$B$1:$R$39</definedName>
    <definedName name="RowFail">希望入力!$BM$3:$BM$52</definedName>
    <definedName name="RowNow">希望入力!$BL$3:$BL$52</definedName>
    <definedName name="SEGMENT_N">希望入力!$BN$2</definedName>
    <definedName name="SEGMENT_P">希望入力!$BO$2</definedName>
    <definedName name="SEGMENT_S">希望入力!$BP$2</definedName>
    <definedName name="SEGMENTS">希望入力!$BQ$2</definedName>
    <definedName name="コマ数">'Start!'!$I$12</definedName>
    <definedName name="開始時">'Start!'!$I$9</definedName>
    <definedName name="開始分">'Start!'!$K$9</definedName>
    <definedName name="協力度">'Start!'!$N$4</definedName>
    <definedName name="最終時">'Start!'!$I$10</definedName>
    <definedName name="最終分">'Start!'!$K$10</definedName>
    <definedName name="氏名" localSheetId="3">名簿!$A$2:$C$51</definedName>
    <definedName name="氏名">名簿!$A$2:$C$51</definedName>
    <definedName name="時間">'Start!'!$I$11</definedName>
    <definedName name="生徒数">'Start!'!$I$4</definedName>
    <definedName name="貼り付け">希望入力!$BL$2</definedName>
    <definedName name="日数">'Start!'!$I$8</definedName>
    <definedName name="表時間">元_予定表!$B$5</definedName>
    <definedName name="表日付">元_予定表!$D$2</definedName>
    <definedName name="表番号">元_予定表!$D$4</definedName>
  </definedNames>
  <calcPr calcId="191029"/>
</workbook>
</file>

<file path=xl/calcChain.xml><?xml version="1.0" encoding="utf-8"?>
<calcChain xmlns="http://schemas.openxmlformats.org/spreadsheetml/2006/main">
  <c r="R33" i="11" l="1"/>
  <c r="Q33" i="11"/>
  <c r="O33" i="11"/>
  <c r="N33" i="11"/>
  <c r="L33" i="11"/>
  <c r="K33" i="11"/>
  <c r="I33" i="11"/>
  <c r="H33" i="11"/>
  <c r="F33" i="11"/>
  <c r="E33" i="11"/>
  <c r="R32" i="11"/>
  <c r="Q32" i="11"/>
  <c r="O32" i="11"/>
  <c r="N32" i="11"/>
  <c r="L32" i="11"/>
  <c r="K32" i="11"/>
  <c r="I32" i="11"/>
  <c r="H32" i="11"/>
  <c r="F32" i="11"/>
  <c r="E32" i="11"/>
  <c r="R24" i="11"/>
  <c r="Q24" i="11"/>
  <c r="O24" i="11"/>
  <c r="N24" i="11"/>
  <c r="L24" i="11"/>
  <c r="K24" i="11"/>
  <c r="I24" i="11"/>
  <c r="H24" i="11"/>
  <c r="F24" i="11"/>
  <c r="E24" i="11"/>
  <c r="R23" i="11"/>
  <c r="Q23" i="11"/>
  <c r="O23" i="11"/>
  <c r="N23" i="11"/>
  <c r="L23" i="11"/>
  <c r="K23" i="11"/>
  <c r="I23" i="11"/>
  <c r="H23" i="11"/>
  <c r="F23" i="11"/>
  <c r="E23" i="11"/>
  <c r="R22" i="11"/>
  <c r="Q22" i="11"/>
  <c r="O22" i="11"/>
  <c r="N22" i="11"/>
  <c r="L22" i="11"/>
  <c r="K22" i="11"/>
  <c r="I22" i="11"/>
  <c r="H22" i="11"/>
  <c r="F22" i="11"/>
  <c r="E22" i="11"/>
  <c r="R21" i="11"/>
  <c r="Q21" i="11"/>
  <c r="O21" i="11"/>
  <c r="N21" i="11"/>
  <c r="L21" i="11"/>
  <c r="K21" i="11"/>
  <c r="I21" i="11"/>
  <c r="H21" i="11"/>
  <c r="F21" i="11"/>
  <c r="E21" i="11"/>
  <c r="R20" i="11"/>
  <c r="Q20" i="11"/>
  <c r="O20" i="11"/>
  <c r="N20" i="11"/>
  <c r="L20" i="11"/>
  <c r="K20" i="11"/>
  <c r="I20" i="11"/>
  <c r="H20" i="11"/>
  <c r="F20" i="11"/>
  <c r="E20" i="11"/>
  <c r="R19" i="11"/>
  <c r="Q19" i="11"/>
  <c r="O19" i="11"/>
  <c r="N19" i="11"/>
  <c r="L19" i="11"/>
  <c r="K19" i="11"/>
  <c r="I19" i="11"/>
  <c r="H19" i="11"/>
  <c r="F19" i="11"/>
  <c r="E19" i="11"/>
  <c r="R18" i="11"/>
  <c r="Q18" i="11"/>
  <c r="O18" i="11"/>
  <c r="N18" i="11"/>
  <c r="L18" i="11"/>
  <c r="K18" i="11"/>
  <c r="I18" i="11"/>
  <c r="H18" i="11"/>
  <c r="F18" i="11"/>
  <c r="E18" i="11"/>
  <c r="R17" i="11"/>
  <c r="Q17" i="11"/>
  <c r="O17" i="11"/>
  <c r="N17" i="11"/>
  <c r="L17" i="11"/>
  <c r="K17" i="11"/>
  <c r="I17" i="11"/>
  <c r="H17" i="11"/>
  <c r="F17" i="11"/>
  <c r="E17" i="11"/>
  <c r="R16" i="11"/>
  <c r="Q16" i="11"/>
  <c r="O16" i="11"/>
  <c r="N16" i="11"/>
  <c r="L16" i="11"/>
  <c r="K16" i="11"/>
  <c r="I16" i="11"/>
  <c r="H16" i="11"/>
  <c r="F16" i="11"/>
  <c r="E16" i="11"/>
  <c r="R15" i="11"/>
  <c r="Q15" i="11"/>
  <c r="O15" i="11"/>
  <c r="N15" i="11"/>
  <c r="L15" i="11"/>
  <c r="K15" i="11"/>
  <c r="I15" i="11"/>
  <c r="H15" i="11"/>
  <c r="F15" i="11"/>
  <c r="E15" i="11"/>
  <c r="BK56" i="9"/>
  <c r="BJ56" i="9"/>
  <c r="BI56" i="9"/>
  <c r="BH56" i="9"/>
  <c r="BG56" i="9"/>
  <c r="BF56" i="9"/>
  <c r="BE56" i="9"/>
  <c r="BD56" i="9"/>
  <c r="BC56" i="9"/>
  <c r="BB56" i="9"/>
  <c r="BA56" i="9"/>
  <c r="AZ56" i="9"/>
  <c r="AY56" i="9"/>
  <c r="AX56" i="9"/>
  <c r="AW56" i="9"/>
  <c r="AV56" i="9"/>
  <c r="AU56" i="9"/>
  <c r="AT56" i="9"/>
  <c r="AS56" i="9"/>
  <c r="AR56" i="9"/>
  <c r="AQ56" i="9"/>
  <c r="AP56" i="9"/>
  <c r="AO56" i="9"/>
  <c r="AN56" i="9"/>
  <c r="AM56" i="9"/>
  <c r="AL56" i="9"/>
  <c r="AK56" i="9"/>
  <c r="AJ56" i="9"/>
  <c r="AI56" i="9"/>
  <c r="AH56" i="9"/>
  <c r="AG56" i="9"/>
  <c r="AF56" i="9"/>
  <c r="AE56" i="9"/>
  <c r="AD56" i="9"/>
  <c r="AC56" i="9"/>
  <c r="AB56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E56" i="9"/>
  <c r="BK55" i="9"/>
  <c r="BJ55" i="9"/>
  <c r="BI55" i="9"/>
  <c r="BH55" i="9"/>
  <c r="BG55" i="9"/>
  <c r="BF55" i="9"/>
  <c r="BE55" i="9"/>
  <c r="BD55" i="9"/>
  <c r="BC55" i="9"/>
  <c r="BB55" i="9"/>
  <c r="BA55" i="9"/>
  <c r="AZ55" i="9"/>
  <c r="AY55" i="9"/>
  <c r="AX55" i="9"/>
  <c r="AW55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BK54" i="9"/>
  <c r="BJ54" i="9"/>
  <c r="BI54" i="9"/>
  <c r="BH54" i="9"/>
  <c r="BG54" i="9"/>
  <c r="BF54" i="9"/>
  <c r="BE54" i="9"/>
  <c r="BD54" i="9"/>
  <c r="BC54" i="9"/>
  <c r="BB54" i="9"/>
  <c r="BA54" i="9"/>
  <c r="AZ54" i="9"/>
  <c r="AY54" i="9"/>
  <c r="AX54" i="9"/>
  <c r="AW54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E54" i="9"/>
  <c r="D56" i="9"/>
  <c r="D54" i="9"/>
  <c r="D55" i="9"/>
  <c r="BJ57" i="9"/>
  <c r="AF57" i="9"/>
  <c r="V57" i="9"/>
  <c r="AJ57" i="9"/>
  <c r="E57" i="9"/>
  <c r="AA57" i="9"/>
  <c r="Q57" i="9"/>
  <c r="AC57" i="9"/>
  <c r="AU57" i="9"/>
  <c r="AB57" i="9"/>
  <c r="BB57" i="9"/>
  <c r="BI57" i="9"/>
  <c r="AT57" i="9"/>
  <c r="O57" i="9"/>
  <c r="N57" i="9"/>
  <c r="BG57" i="9"/>
  <c r="I57" i="9"/>
  <c r="BK57" i="9"/>
  <c r="L57" i="9"/>
  <c r="AS57" i="9"/>
  <c r="S57" i="9"/>
  <c r="AZ57" i="9"/>
  <c r="Y57" i="9"/>
  <c r="T57" i="9"/>
  <c r="BC57" i="9"/>
  <c r="AV57" i="9"/>
  <c r="AM57" i="9"/>
  <c r="BA57" i="9"/>
  <c r="K57" i="9"/>
  <c r="R57" i="9"/>
  <c r="AL57" i="9"/>
  <c r="J57" i="9"/>
  <c r="AI57" i="9"/>
  <c r="AG57" i="9"/>
  <c r="BE57" i="9"/>
  <c r="AK57" i="9"/>
  <c r="Z57" i="9"/>
  <c r="F57" i="9"/>
  <c r="AH57" i="9"/>
  <c r="AN57" i="9"/>
  <c r="AO57" i="9"/>
  <c r="H57" i="9"/>
  <c r="AE57" i="9"/>
  <c r="AD57" i="9"/>
  <c r="AQ57" i="9"/>
  <c r="BD57" i="9"/>
  <c r="M57" i="9"/>
  <c r="U57" i="9"/>
  <c r="BH57" i="9"/>
  <c r="AW57" i="9"/>
  <c r="G57" i="9"/>
  <c r="AX57" i="9"/>
  <c r="D57" i="9"/>
  <c r="W57" i="9"/>
  <c r="P57" i="9"/>
  <c r="AP57" i="9"/>
  <c r="AY57" i="9"/>
  <c r="AR57" i="9"/>
  <c r="X57" i="9"/>
  <c r="BF57" i="9"/>
  <c r="R29" i="11" l="1"/>
  <c r="Q29" i="11"/>
  <c r="O29" i="11"/>
  <c r="N29" i="11"/>
  <c r="L29" i="11"/>
  <c r="K29" i="11"/>
  <c r="I29" i="11"/>
  <c r="H29" i="11"/>
  <c r="F29" i="11"/>
  <c r="E29" i="11"/>
  <c r="R28" i="11"/>
  <c r="Q28" i="11"/>
  <c r="O28" i="11"/>
  <c r="N28" i="11"/>
  <c r="L28" i="11"/>
  <c r="K28" i="11"/>
  <c r="I28" i="11"/>
  <c r="H28" i="11"/>
  <c r="F28" i="11"/>
  <c r="E28" i="11"/>
  <c r="R27" i="11"/>
  <c r="Q27" i="11"/>
  <c r="O27" i="11"/>
  <c r="N27" i="11"/>
  <c r="L27" i="11"/>
  <c r="K27" i="11"/>
  <c r="I27" i="11"/>
  <c r="H27" i="11"/>
  <c r="F27" i="11"/>
  <c r="E27" i="11"/>
  <c r="R26" i="11"/>
  <c r="Q26" i="11"/>
  <c r="O26" i="11"/>
  <c r="N26" i="11"/>
  <c r="L26" i="11"/>
  <c r="K26" i="11"/>
  <c r="I26" i="11"/>
  <c r="H26" i="11"/>
  <c r="F26" i="11"/>
  <c r="E26" i="11"/>
  <c r="R25" i="11"/>
  <c r="Q25" i="11"/>
  <c r="O25" i="11"/>
  <c r="N25" i="11"/>
  <c r="L25" i="11"/>
  <c r="K25" i="11"/>
  <c r="I25" i="11"/>
  <c r="H25" i="11"/>
  <c r="F25" i="11"/>
  <c r="E25" i="11"/>
  <c r="R14" i="11"/>
  <c r="Q14" i="11"/>
  <c r="O14" i="11"/>
  <c r="N14" i="11"/>
  <c r="L14" i="11"/>
  <c r="K14" i="11"/>
  <c r="I14" i="11"/>
  <c r="H14" i="11"/>
  <c r="F14" i="11"/>
  <c r="E14" i="11"/>
  <c r="L36" i="11"/>
  <c r="K36" i="11"/>
  <c r="L35" i="11"/>
  <c r="K35" i="11"/>
  <c r="L34" i="11"/>
  <c r="K34" i="11"/>
  <c r="L31" i="11"/>
  <c r="K31" i="11"/>
  <c r="L30" i="11"/>
  <c r="K30" i="11"/>
  <c r="L13" i="11"/>
  <c r="K13" i="11"/>
  <c r="L12" i="11"/>
  <c r="K12" i="11"/>
  <c r="L11" i="11"/>
  <c r="K11" i="11"/>
  <c r="L10" i="11"/>
  <c r="K10" i="11"/>
  <c r="L9" i="11"/>
  <c r="K9" i="11"/>
  <c r="L8" i="11"/>
  <c r="K8" i="11"/>
  <c r="L7" i="11"/>
  <c r="K7" i="11"/>
  <c r="L6" i="11"/>
  <c r="K6" i="11"/>
  <c r="L5" i="11"/>
  <c r="K5" i="11"/>
  <c r="L4" i="11"/>
  <c r="K4" i="11"/>
  <c r="J3" i="11"/>
  <c r="A52" i="9"/>
  <c r="B52" i="9" s="1"/>
  <c r="A51" i="9"/>
  <c r="B51" i="9" s="1"/>
  <c r="A50" i="9"/>
  <c r="B50" i="9" s="1"/>
  <c r="A49" i="9"/>
  <c r="B49" i="9" s="1"/>
  <c r="A48" i="9"/>
  <c r="B48" i="9" s="1"/>
  <c r="A47" i="9"/>
  <c r="B47" i="9" s="1"/>
  <c r="A46" i="9"/>
  <c r="B46" i="9" s="1"/>
  <c r="A45" i="9"/>
  <c r="B45" i="9" s="1"/>
  <c r="A44" i="9"/>
  <c r="B44" i="9" s="1"/>
  <c r="A43" i="9"/>
  <c r="B43" i="9" s="1"/>
  <c r="A42" i="9"/>
  <c r="B42" i="9" s="1"/>
  <c r="A41" i="9"/>
  <c r="B41" i="9" s="1"/>
  <c r="A40" i="9"/>
  <c r="B40" i="9" s="1"/>
  <c r="A39" i="9"/>
  <c r="B39" i="9" s="1"/>
  <c r="A38" i="9"/>
  <c r="B38" i="9" s="1"/>
  <c r="A37" i="9"/>
  <c r="B37" i="9" s="1"/>
  <c r="A36" i="9"/>
  <c r="B36" i="9" s="1"/>
  <c r="A35" i="9"/>
  <c r="B35" i="9" s="1"/>
  <c r="A34" i="9"/>
  <c r="B34" i="9" s="1"/>
  <c r="A33" i="9"/>
  <c r="B33" i="9" s="1"/>
  <c r="A32" i="9"/>
  <c r="B32" i="9" s="1"/>
  <c r="A31" i="9"/>
  <c r="B31" i="9" s="1"/>
  <c r="A30" i="9"/>
  <c r="B30" i="9" s="1"/>
  <c r="A29" i="9"/>
  <c r="B29" i="9" s="1"/>
  <c r="A28" i="9"/>
  <c r="B28" i="9" s="1"/>
  <c r="A27" i="9"/>
  <c r="B27" i="9" s="1"/>
  <c r="A26" i="9"/>
  <c r="B26" i="9" s="1"/>
  <c r="A25" i="9"/>
  <c r="B25" i="9" s="1"/>
  <c r="A24" i="9"/>
  <c r="B24" i="9" s="1"/>
  <c r="A23" i="9"/>
  <c r="B23" i="9" s="1"/>
  <c r="A22" i="9"/>
  <c r="B22" i="9" s="1"/>
  <c r="A21" i="9"/>
  <c r="B21" i="9" s="1"/>
  <c r="A20" i="9"/>
  <c r="B20" i="9" s="1"/>
  <c r="A19" i="9"/>
  <c r="B19" i="9" s="1"/>
  <c r="A18" i="9"/>
  <c r="B18" i="9" s="1"/>
  <c r="A17" i="9"/>
  <c r="B17" i="9" s="1"/>
  <c r="A16" i="9"/>
  <c r="B16" i="9" s="1"/>
  <c r="A15" i="9"/>
  <c r="B15" i="9" s="1"/>
  <c r="A14" i="9"/>
  <c r="B14" i="9" s="1"/>
  <c r="A13" i="9"/>
  <c r="B13" i="9" s="1"/>
  <c r="A12" i="9"/>
  <c r="B12" i="9" s="1"/>
  <c r="A11" i="9"/>
  <c r="B11" i="9" s="1"/>
  <c r="A10" i="9"/>
  <c r="B10" i="9" s="1"/>
  <c r="A9" i="9"/>
  <c r="B9" i="9" s="1"/>
  <c r="A8" i="9"/>
  <c r="B8" i="9" s="1"/>
  <c r="A7" i="9"/>
  <c r="B7" i="9" s="1"/>
  <c r="A6" i="9"/>
  <c r="B6" i="9" s="1"/>
  <c r="A5" i="9"/>
  <c r="B5" i="9" s="1"/>
  <c r="A4" i="9"/>
  <c r="B4" i="9" s="1"/>
  <c r="A3" i="9"/>
  <c r="B3" i="9" s="1"/>
  <c r="I4" i="13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6" i="9"/>
  <c r="C47" i="9"/>
  <c r="C48" i="9"/>
  <c r="C49" i="9"/>
  <c r="C50" i="9"/>
  <c r="C51" i="9"/>
  <c r="C52" i="9"/>
  <c r="C44" i="9"/>
  <c r="C45" i="9"/>
  <c r="BN4" i="9"/>
  <c r="BO4" i="9"/>
  <c r="BP4" i="9"/>
  <c r="BN5" i="9"/>
  <c r="BO5" i="9"/>
  <c r="BP5" i="9"/>
  <c r="BN6" i="9"/>
  <c r="BO6" i="9"/>
  <c r="BP6" i="9"/>
  <c r="BN7" i="9"/>
  <c r="BO7" i="9"/>
  <c r="BP7" i="9"/>
  <c r="BN8" i="9"/>
  <c r="BO8" i="9"/>
  <c r="BP8" i="9"/>
  <c r="BN9" i="9"/>
  <c r="BO9" i="9"/>
  <c r="BP9" i="9"/>
  <c r="BN10" i="9"/>
  <c r="BO10" i="9"/>
  <c r="BP10" i="9"/>
  <c r="BN11" i="9"/>
  <c r="BO11" i="9"/>
  <c r="BP11" i="9"/>
  <c r="BN12" i="9"/>
  <c r="BO12" i="9"/>
  <c r="BP12" i="9"/>
  <c r="BN13" i="9"/>
  <c r="BO13" i="9"/>
  <c r="BP13" i="9"/>
  <c r="BN14" i="9"/>
  <c r="BO14" i="9"/>
  <c r="BP14" i="9"/>
  <c r="BN15" i="9"/>
  <c r="BO15" i="9"/>
  <c r="BP15" i="9"/>
  <c r="BN16" i="9"/>
  <c r="BO16" i="9"/>
  <c r="BP16" i="9"/>
  <c r="BN17" i="9"/>
  <c r="BO17" i="9"/>
  <c r="BP17" i="9"/>
  <c r="BN18" i="9"/>
  <c r="BO18" i="9"/>
  <c r="BP18" i="9"/>
  <c r="BN19" i="9"/>
  <c r="BO19" i="9"/>
  <c r="BP19" i="9"/>
  <c r="BN20" i="9"/>
  <c r="BO20" i="9"/>
  <c r="BP20" i="9"/>
  <c r="BN21" i="9"/>
  <c r="BO21" i="9"/>
  <c r="BP21" i="9"/>
  <c r="BN22" i="9"/>
  <c r="BO22" i="9"/>
  <c r="BP22" i="9"/>
  <c r="BN23" i="9"/>
  <c r="BO23" i="9"/>
  <c r="BP23" i="9"/>
  <c r="BN24" i="9"/>
  <c r="BO24" i="9"/>
  <c r="BP24" i="9"/>
  <c r="BN25" i="9"/>
  <c r="BO25" i="9"/>
  <c r="BP25" i="9"/>
  <c r="BN26" i="9"/>
  <c r="BO26" i="9"/>
  <c r="BP26" i="9"/>
  <c r="BN27" i="9"/>
  <c r="BO27" i="9"/>
  <c r="BP27" i="9"/>
  <c r="BN28" i="9"/>
  <c r="BO28" i="9"/>
  <c r="BP28" i="9"/>
  <c r="BN29" i="9"/>
  <c r="BO29" i="9"/>
  <c r="BP29" i="9"/>
  <c r="BN30" i="9"/>
  <c r="BO30" i="9"/>
  <c r="BP30" i="9"/>
  <c r="BN31" i="9"/>
  <c r="BO31" i="9"/>
  <c r="BP31" i="9"/>
  <c r="BN32" i="9"/>
  <c r="BO32" i="9"/>
  <c r="BP32" i="9"/>
  <c r="BN33" i="9"/>
  <c r="BO33" i="9"/>
  <c r="BP33" i="9"/>
  <c r="BN34" i="9"/>
  <c r="BO34" i="9"/>
  <c r="BP34" i="9"/>
  <c r="BN35" i="9"/>
  <c r="BO35" i="9"/>
  <c r="BP35" i="9"/>
  <c r="BN36" i="9"/>
  <c r="BO36" i="9"/>
  <c r="BP36" i="9"/>
  <c r="BN37" i="9"/>
  <c r="BO37" i="9"/>
  <c r="BP37" i="9"/>
  <c r="BN38" i="9"/>
  <c r="BO38" i="9"/>
  <c r="BP38" i="9"/>
  <c r="BN39" i="9"/>
  <c r="BO39" i="9"/>
  <c r="BP39" i="9"/>
  <c r="BN40" i="9"/>
  <c r="BO40" i="9"/>
  <c r="BP40" i="9"/>
  <c r="BN41" i="9"/>
  <c r="BO41" i="9"/>
  <c r="BP41" i="9"/>
  <c r="BN42" i="9"/>
  <c r="BO42" i="9"/>
  <c r="BP42" i="9"/>
  <c r="BN43" i="9"/>
  <c r="BO43" i="9"/>
  <c r="BP43" i="9"/>
  <c r="BN44" i="9"/>
  <c r="BO44" i="9"/>
  <c r="BP44" i="9"/>
  <c r="BN45" i="9"/>
  <c r="BO45" i="9"/>
  <c r="BP45" i="9"/>
  <c r="BN46" i="9"/>
  <c r="BO46" i="9"/>
  <c r="BP46" i="9"/>
  <c r="BN47" i="9"/>
  <c r="BO47" i="9"/>
  <c r="BP47" i="9"/>
  <c r="BN48" i="9"/>
  <c r="BO48" i="9"/>
  <c r="BP48" i="9"/>
  <c r="BN49" i="9"/>
  <c r="BO49" i="9"/>
  <c r="BP49" i="9"/>
  <c r="BN50" i="9"/>
  <c r="BO50" i="9"/>
  <c r="BP50" i="9"/>
  <c r="BN51" i="9"/>
  <c r="BO51" i="9"/>
  <c r="BP51" i="9"/>
  <c r="BN52" i="9"/>
  <c r="BO52" i="9"/>
  <c r="BP52" i="9"/>
  <c r="BP3" i="9"/>
  <c r="BO3" i="9"/>
  <c r="BN3" i="9"/>
  <c r="BQ3" i="9" l="1"/>
  <c r="BQ51" i="9"/>
  <c r="BQ49" i="9"/>
  <c r="BQ47" i="9"/>
  <c r="BQ52" i="9"/>
  <c r="BQ50" i="9"/>
  <c r="BQ48" i="9"/>
  <c r="BQ46" i="9"/>
  <c r="BQ45" i="9"/>
  <c r="BQ43" i="9"/>
  <c r="BQ41" i="9"/>
  <c r="BQ39" i="9"/>
  <c r="BQ37" i="9"/>
  <c r="BQ35" i="9"/>
  <c r="BQ33" i="9"/>
  <c r="BQ31" i="9"/>
  <c r="BQ29" i="9"/>
  <c r="BQ27" i="9"/>
  <c r="BQ25" i="9"/>
  <c r="BQ23" i="9"/>
  <c r="BQ21" i="9"/>
  <c r="BQ19" i="9"/>
  <c r="BQ17" i="9"/>
  <c r="BQ15" i="9"/>
  <c r="BQ13" i="9"/>
  <c r="BQ11" i="9"/>
  <c r="BQ9" i="9"/>
  <c r="BQ7" i="9"/>
  <c r="BQ5" i="9"/>
  <c r="BQ44" i="9"/>
  <c r="BQ42" i="9"/>
  <c r="BQ40" i="9"/>
  <c r="BQ36" i="9"/>
  <c r="BQ34" i="9"/>
  <c r="BQ32" i="9"/>
  <c r="BQ30" i="9"/>
  <c r="BQ28" i="9"/>
  <c r="BQ26" i="9"/>
  <c r="BQ24" i="9"/>
  <c r="BQ22" i="9"/>
  <c r="BQ20" i="9"/>
  <c r="BQ18" i="9"/>
  <c r="BQ16" i="9"/>
  <c r="BQ14" i="9"/>
  <c r="BQ12" i="9"/>
  <c r="BQ10" i="9"/>
  <c r="BQ8" i="9"/>
  <c r="BQ6" i="9"/>
  <c r="BQ4" i="9"/>
  <c r="BQ38" i="9"/>
  <c r="N11" i="13" l="1"/>
  <c r="N10" i="13"/>
  <c r="N9" i="13"/>
  <c r="I12" i="13" l="1"/>
  <c r="D3" i="11"/>
  <c r="G3" i="11"/>
  <c r="M3" i="11"/>
  <c r="P3" i="11"/>
  <c r="E4" i="11"/>
  <c r="F4" i="11"/>
  <c r="H4" i="11"/>
  <c r="I4" i="11"/>
  <c r="N4" i="11"/>
  <c r="O4" i="11"/>
  <c r="Q4" i="11"/>
  <c r="R4" i="11"/>
  <c r="E5" i="11"/>
  <c r="F5" i="11"/>
  <c r="H5" i="11"/>
  <c r="I5" i="11"/>
  <c r="N5" i="11"/>
  <c r="O5" i="11"/>
  <c r="Q5" i="11"/>
  <c r="R5" i="11"/>
  <c r="E6" i="11"/>
  <c r="F6" i="11"/>
  <c r="H6" i="11"/>
  <c r="I6" i="11"/>
  <c r="N6" i="11"/>
  <c r="O6" i="11"/>
  <c r="Q6" i="11"/>
  <c r="R6" i="11"/>
  <c r="E7" i="11"/>
  <c r="F7" i="11"/>
  <c r="H7" i="11"/>
  <c r="I7" i="11"/>
  <c r="N7" i="11"/>
  <c r="O7" i="11"/>
  <c r="Q7" i="11"/>
  <c r="R7" i="11"/>
  <c r="E8" i="11"/>
  <c r="F8" i="11"/>
  <c r="H8" i="11"/>
  <c r="I8" i="11"/>
  <c r="N8" i="11"/>
  <c r="O8" i="11"/>
  <c r="Q8" i="11"/>
  <c r="R8" i="11"/>
  <c r="E9" i="11"/>
  <c r="F9" i="11"/>
  <c r="H9" i="11"/>
  <c r="I9" i="11"/>
  <c r="N9" i="11"/>
  <c r="O9" i="11"/>
  <c r="Q9" i="11"/>
  <c r="R9" i="11"/>
  <c r="E10" i="11"/>
  <c r="F10" i="11"/>
  <c r="H10" i="11"/>
  <c r="I10" i="11"/>
  <c r="N10" i="11"/>
  <c r="O10" i="11"/>
  <c r="Q10" i="11"/>
  <c r="R10" i="11"/>
  <c r="E11" i="11"/>
  <c r="F11" i="11"/>
  <c r="H11" i="11"/>
  <c r="I11" i="11"/>
  <c r="N11" i="11"/>
  <c r="O11" i="11"/>
  <c r="Q11" i="11"/>
  <c r="R11" i="11"/>
  <c r="E12" i="11"/>
  <c r="F12" i="11"/>
  <c r="H12" i="11"/>
  <c r="I12" i="11"/>
  <c r="N12" i="11"/>
  <c r="O12" i="11"/>
  <c r="Q12" i="11"/>
  <c r="R12" i="11"/>
  <c r="E13" i="11"/>
  <c r="F13" i="11"/>
  <c r="H13" i="11"/>
  <c r="I13" i="11"/>
  <c r="N13" i="11"/>
  <c r="O13" i="11"/>
  <c r="Q13" i="11"/>
  <c r="R13" i="11"/>
  <c r="E30" i="11"/>
  <c r="F30" i="11"/>
  <c r="H30" i="11"/>
  <c r="I30" i="11"/>
  <c r="N30" i="11"/>
  <c r="O30" i="11"/>
  <c r="Q30" i="11"/>
  <c r="R30" i="11"/>
  <c r="E31" i="11"/>
  <c r="F31" i="11"/>
  <c r="H31" i="11"/>
  <c r="I31" i="11"/>
  <c r="N31" i="11"/>
  <c r="O31" i="11"/>
  <c r="Q31" i="11"/>
  <c r="R31" i="11"/>
  <c r="E34" i="11"/>
  <c r="F34" i="11"/>
  <c r="H34" i="11"/>
  <c r="I34" i="11"/>
  <c r="N34" i="11"/>
  <c r="O34" i="11"/>
  <c r="Q34" i="11"/>
  <c r="R34" i="11"/>
  <c r="E35" i="11"/>
  <c r="F35" i="11"/>
  <c r="H35" i="11"/>
  <c r="I35" i="11"/>
  <c r="N35" i="11"/>
  <c r="O35" i="11"/>
  <c r="Q35" i="11"/>
  <c r="R35" i="11"/>
  <c r="E36" i="11"/>
  <c r="F36" i="11"/>
  <c r="H36" i="11"/>
  <c r="I36" i="11"/>
  <c r="N36" i="11"/>
  <c r="O36" i="11"/>
  <c r="Q36" i="11"/>
  <c r="R36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4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総希望数を総コマ数で割った数値(%)です。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愛知県教育委員会</author>
    <author>作成者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日付として入力すること
例：12/24</t>
        </r>
      </text>
    </comment>
    <comment ref="D2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確定コマのない時間には背景色がついています</t>
        </r>
      </text>
    </comment>
    <comment ref="BL2" authorId="1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ここに1を入力すると選択行表示を解除します。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" authorId="0" shapeId="0" xr:uid="{00000000-0006-0000-0300-000001000000}">
      <text>
        <r>
          <rPr>
            <b/>
            <sz val="10"/>
            <color indexed="81"/>
            <rFont val="ＭＳ Ｐゴシック"/>
            <family val="3"/>
            <charset val="128"/>
          </rPr>
          <t>タイトルを入力</t>
        </r>
      </text>
    </comment>
    <comment ref="D2" authorId="0" shapeId="0" xr:uid="{00000000-0006-0000-0300-000002000000}">
      <text>
        <r>
          <rPr>
            <sz val="9"/>
            <color indexed="81"/>
            <rFont val="ＭＳ Ｐゴシック"/>
            <family val="3"/>
            <charset val="128"/>
          </rPr>
          <t>ここに西暦年/月/日を入力する</t>
        </r>
      </text>
    </comment>
    <comment ref="D4" authorId="0" shapeId="0" xr:uid="{00000000-0006-0000-0300-000003000000}">
      <text>
        <r>
          <rPr>
            <sz val="9"/>
            <color indexed="81"/>
            <rFont val="ＭＳ Ｐゴシック"/>
            <family val="3"/>
            <charset val="128"/>
          </rPr>
          <t>ここに生徒番号を入力する</t>
        </r>
      </text>
    </comment>
  </commentList>
</comments>
</file>

<file path=xl/sharedStrings.xml><?xml version="1.0" encoding="utf-8"?>
<sst xmlns="http://schemas.openxmlformats.org/spreadsheetml/2006/main" count="117" uniqueCount="72">
  <si>
    <t>番</t>
  </si>
  <si>
    <t>氏</t>
  </si>
  <si>
    <t>名</t>
  </si>
  <si>
    <t>～</t>
  </si>
  <si>
    <t>日付</t>
    <rPh sb="0" eb="2">
      <t>ヒヅケ</t>
    </rPh>
    <phoneticPr fontId="5"/>
  </si>
  <si>
    <t>時間</t>
    <rPh sb="0" eb="2">
      <t>ジカン</t>
    </rPh>
    <phoneticPr fontId="5"/>
  </si>
  <si>
    <t>～</t>
    <phoneticPr fontId="5"/>
  </si>
  <si>
    <t>☆保護者会日程調整☆</t>
    <rPh sb="1" eb="3">
      <t>ホゴ</t>
    </rPh>
    <rPh sb="3" eb="4">
      <t>シャ</t>
    </rPh>
    <rPh sb="4" eb="5">
      <t>カイ</t>
    </rPh>
    <rPh sb="5" eb="7">
      <t>ニッテイ</t>
    </rPh>
    <rPh sb="7" eb="9">
      <t>チョウセイ</t>
    </rPh>
    <phoneticPr fontId="5"/>
  </si>
  <si>
    <t>初期設定</t>
    <rPh sb="0" eb="2">
      <t>ショキ</t>
    </rPh>
    <rPh sb="2" eb="4">
      <t>セッテイ</t>
    </rPh>
    <phoneticPr fontId="5"/>
  </si>
  <si>
    <t>名簿シートに名簿貼り付け</t>
    <rPh sb="0" eb="2">
      <t>メイボ</t>
    </rPh>
    <rPh sb="6" eb="8">
      <t>メイボ</t>
    </rPh>
    <rPh sb="8" eb="9">
      <t>ハ</t>
    </rPh>
    <rPh sb="10" eb="11">
      <t>ツ</t>
    </rPh>
    <phoneticPr fontId="5"/>
  </si>
  <si>
    <t>保護者会日数：</t>
    <rPh sb="0" eb="2">
      <t>ホゴ</t>
    </rPh>
    <rPh sb="2" eb="3">
      <t>シャ</t>
    </rPh>
    <rPh sb="3" eb="4">
      <t>カイ</t>
    </rPh>
    <rPh sb="4" eb="6">
      <t>ニッスウ</t>
    </rPh>
    <phoneticPr fontId="5"/>
  </si>
  <si>
    <t>開始時間：</t>
    <rPh sb="0" eb="2">
      <t>カイシ</t>
    </rPh>
    <rPh sb="2" eb="4">
      <t>ジカン</t>
    </rPh>
    <phoneticPr fontId="5"/>
  </si>
  <si>
    <t>最終開始時間：</t>
    <rPh sb="0" eb="2">
      <t>サイシュウ</t>
    </rPh>
    <rPh sb="2" eb="4">
      <t>カイシ</t>
    </rPh>
    <rPh sb="4" eb="6">
      <t>ジカン</t>
    </rPh>
    <phoneticPr fontId="5"/>
  </si>
  <si>
    <t>日</t>
    <rPh sb="0" eb="1">
      <t>ニチ</t>
    </rPh>
    <phoneticPr fontId="5"/>
  </si>
  <si>
    <t>時</t>
    <rPh sb="0" eb="1">
      <t>ジ</t>
    </rPh>
    <phoneticPr fontId="5"/>
  </si>
  <si>
    <t>分</t>
    <rPh sb="0" eb="1">
      <t>フン</t>
    </rPh>
    <phoneticPr fontId="5"/>
  </si>
  <si>
    <t>面談時間：</t>
    <rPh sb="0" eb="2">
      <t>メンダン</t>
    </rPh>
    <rPh sb="2" eb="4">
      <t>ジカン</t>
    </rPh>
    <phoneticPr fontId="5"/>
  </si>
  <si>
    <t>コマ数(1日):</t>
    <rPh sb="2" eb="3">
      <t>スウ</t>
    </rPh>
    <rPh sb="5" eb="6">
      <t>ニチ</t>
    </rPh>
    <phoneticPr fontId="5"/>
  </si>
  <si>
    <t>○</t>
    <phoneticPr fontId="5"/>
  </si>
  <si>
    <t>◎</t>
    <phoneticPr fontId="5"/>
  </si>
  <si>
    <t>△</t>
    <phoneticPr fontId="5"/>
  </si>
  <si>
    <t>生徒数：</t>
    <rPh sb="0" eb="3">
      <t>セイトスウ</t>
    </rPh>
    <phoneticPr fontId="5"/>
  </si>
  <si>
    <t>協力度：</t>
    <rPh sb="0" eb="2">
      <t>キョウリョク</t>
    </rPh>
    <rPh sb="2" eb="3">
      <t>ド</t>
    </rPh>
    <phoneticPr fontId="5"/>
  </si>
  <si>
    <t>計</t>
    <rPh sb="0" eb="1">
      <t>ケイ</t>
    </rPh>
    <phoneticPr fontId="5"/>
  </si>
  <si>
    <t>番号は2桁・最高50番までで、生徒数以上に余分に入力しないこと</t>
    <rPh sb="0" eb="2">
      <t>バンゴウ</t>
    </rPh>
    <rPh sb="4" eb="5">
      <t>ケタ</t>
    </rPh>
    <rPh sb="6" eb="8">
      <t>サイコウ</t>
    </rPh>
    <rPh sb="10" eb="11">
      <t>バン</t>
    </rPh>
    <rPh sb="15" eb="18">
      <t>セイトスウ</t>
    </rPh>
    <rPh sb="18" eb="20">
      <t>イジョウ</t>
    </rPh>
    <rPh sb="21" eb="23">
      <t>ヨブン</t>
    </rPh>
    <rPh sb="24" eb="26">
      <t>ニュウリョク</t>
    </rPh>
    <phoneticPr fontId="5"/>
  </si>
  <si>
    <t>調整シート上のボタンで予定表シートへ転記</t>
    <rPh sb="0" eb="2">
      <t>チョウセイ</t>
    </rPh>
    <rPh sb="5" eb="6">
      <t>ジョウ</t>
    </rPh>
    <rPh sb="11" eb="13">
      <t>ヨテイ</t>
    </rPh>
    <rPh sb="13" eb="14">
      <t>ヒョウ</t>
    </rPh>
    <rPh sb="18" eb="20">
      <t>テンキ</t>
    </rPh>
    <phoneticPr fontId="5"/>
  </si>
  <si>
    <t>入力終了後、左上ボタンより調整作業</t>
    <rPh sb="0" eb="2">
      <t>ニュウリョク</t>
    </rPh>
    <rPh sb="2" eb="5">
      <t>シュウリョウゴ</t>
    </rPh>
    <rPh sb="6" eb="8">
      <t>ヒダリウエ</t>
    </rPh>
    <rPh sb="13" eb="15">
      <t>チョウセイ</t>
    </rPh>
    <rPh sb="15" eb="17">
      <t>サギョウ</t>
    </rPh>
    <phoneticPr fontId="5"/>
  </si>
  <si>
    <t>希望入力シート左上のボタンで希望入力・休憩時間帯設定</t>
    <rPh sb="0" eb="2">
      <t>キボウ</t>
    </rPh>
    <rPh sb="2" eb="4">
      <t>ニュウリョク</t>
    </rPh>
    <rPh sb="7" eb="8">
      <t>ヒダリ</t>
    </rPh>
    <rPh sb="8" eb="9">
      <t>ジョウ</t>
    </rPh>
    <rPh sb="14" eb="16">
      <t>キボウ</t>
    </rPh>
    <rPh sb="16" eb="18">
      <t>ニュウリョク</t>
    </rPh>
    <rPh sb="19" eb="21">
      <t>キュウケイ</t>
    </rPh>
    <rPh sb="21" eb="23">
      <t>ジカン</t>
    </rPh>
    <rPh sb="23" eb="24">
      <t>タイ</t>
    </rPh>
    <rPh sb="24" eb="26">
      <t>セッテイ</t>
    </rPh>
    <phoneticPr fontId="5"/>
  </si>
  <si>
    <t>現在選択行に"1"</t>
    <rPh sb="0" eb="2">
      <t>ゲンザイ</t>
    </rPh>
    <rPh sb="2" eb="4">
      <t>センタク</t>
    </rPh>
    <rPh sb="4" eb="5">
      <t>ギョウ</t>
    </rPh>
    <phoneticPr fontId="5"/>
  </si>
  <si>
    <t>未確定時に"1"</t>
    <rPh sb="0" eb="1">
      <t>ミ</t>
    </rPh>
    <rPh sb="1" eb="4">
      <t>カクテイジ</t>
    </rPh>
    <phoneticPr fontId="5"/>
  </si>
  <si>
    <t>*</t>
    <phoneticPr fontId="5"/>
  </si>
  <si>
    <t>クラス生徒の名簿を出席番号（2桁）と姓・名に分けて貼り付け（最大50名）</t>
    <rPh sb="3" eb="5">
      <t>セイト</t>
    </rPh>
    <rPh sb="6" eb="8">
      <t>メイボ</t>
    </rPh>
    <rPh sb="9" eb="11">
      <t>シュッセキ</t>
    </rPh>
    <rPh sb="11" eb="13">
      <t>バンゴウ</t>
    </rPh>
    <rPh sb="15" eb="16">
      <t>ケタ</t>
    </rPh>
    <rPh sb="18" eb="19">
      <t>セイ</t>
    </rPh>
    <rPh sb="20" eb="21">
      <t>メイ</t>
    </rPh>
    <rPh sb="22" eb="23">
      <t>ワ</t>
    </rPh>
    <rPh sb="25" eb="26">
      <t>ハ</t>
    </rPh>
    <rPh sb="27" eb="28">
      <t>ツ</t>
    </rPh>
    <rPh sb="30" eb="32">
      <t>サイダイ</t>
    </rPh>
    <rPh sb="34" eb="35">
      <t>メイ</t>
    </rPh>
    <phoneticPr fontId="5"/>
  </si>
  <si>
    <t>設定ボタンより、右にある各項目の設定</t>
    <rPh sb="0" eb="2">
      <t>セッテイ</t>
    </rPh>
    <rPh sb="8" eb="9">
      <t>ミギ</t>
    </rPh>
    <rPh sb="12" eb="15">
      <t>カクコウモク</t>
    </rPh>
    <rPh sb="16" eb="18">
      <t>セッテイ</t>
    </rPh>
    <phoneticPr fontId="5"/>
  </si>
  <si>
    <t>優先設定"◎"した場合、その時間は確定となります。</t>
    <rPh sb="0" eb="2">
      <t>ユウセン</t>
    </rPh>
    <rPh sb="2" eb="4">
      <t>セッテイ</t>
    </rPh>
    <rPh sb="9" eb="11">
      <t>バアイ</t>
    </rPh>
    <rPh sb="14" eb="16">
      <t>ジカン</t>
    </rPh>
    <rPh sb="17" eb="19">
      <t>カクテイ</t>
    </rPh>
    <phoneticPr fontId="5"/>
  </si>
  <si>
    <t>第2希望の"△"は、○だけでは調整できない場合に限り自動で使われます。（△で確定した枠も青色になります）</t>
  </si>
  <si>
    <t>（どうしても埋まらない場合に通常の"○"あるいは"◎"に変更します。）</t>
    <phoneticPr fontId="5"/>
  </si>
  <si>
    <t>◎</t>
    <phoneticPr fontId="5"/>
  </si>
  <si>
    <t>○</t>
    <phoneticPr fontId="5"/>
  </si>
  <si>
    <t>△</t>
    <phoneticPr fontId="5"/>
  </si>
  <si>
    <t>調整作業結果は、希望入力シートをコピーした「調整?」シート上に表示されます。</t>
    <rPh sb="0" eb="2">
      <t>チョウセイ</t>
    </rPh>
    <rPh sb="2" eb="4">
      <t>サギョウ</t>
    </rPh>
    <rPh sb="4" eb="6">
      <t>ケッカ</t>
    </rPh>
    <rPh sb="8" eb="10">
      <t>キボウ</t>
    </rPh>
    <rPh sb="10" eb="12">
      <t>ニュウリョク</t>
    </rPh>
    <rPh sb="22" eb="24">
      <t>チョウセイ</t>
    </rPh>
    <rPh sb="29" eb="30">
      <t>ジョウ</t>
    </rPh>
    <rPh sb="31" eb="33">
      <t>ヒョウジ</t>
    </rPh>
    <phoneticPr fontId="5"/>
  </si>
  <si>
    <t>どうしても調整できない場合、休憩時間をずらすなど、お試しください。</t>
    <rPh sb="5" eb="7">
      <t>チョウセイ</t>
    </rPh>
    <rPh sb="11" eb="13">
      <t>バアイ</t>
    </rPh>
    <rPh sb="14" eb="16">
      <t>キュウケイ</t>
    </rPh>
    <rPh sb="16" eb="18">
      <t>ジカン</t>
    </rPh>
    <rPh sb="26" eb="27">
      <t>タメ</t>
    </rPh>
    <phoneticPr fontId="5"/>
  </si>
  <si>
    <t>(必要のない「調整?」シートは削除できますが、間違って「希望入力」シートを削除しないように。)</t>
    <rPh sb="1" eb="3">
      <t>ヒツヨウ</t>
    </rPh>
    <rPh sb="7" eb="9">
      <t>チョウセイ</t>
    </rPh>
    <rPh sb="15" eb="17">
      <t>サクジョ</t>
    </rPh>
    <rPh sb="23" eb="25">
      <t>マチガ</t>
    </rPh>
    <rPh sb="28" eb="30">
      <t>キボウ</t>
    </rPh>
    <rPh sb="30" eb="32">
      <t>ニュウリョク</t>
    </rPh>
    <rPh sb="37" eb="39">
      <t>サクジョ</t>
    </rPh>
    <phoneticPr fontId="5"/>
  </si>
  <si>
    <t>(必要のない「予定表?」シートは削除できますが、間違って「元_予定表」シートを削除しないように。)</t>
    <rPh sb="1" eb="3">
      <t>ヒツヨウ</t>
    </rPh>
    <rPh sb="7" eb="9">
      <t>ヨテイ</t>
    </rPh>
    <rPh sb="9" eb="10">
      <t>ヒョウ</t>
    </rPh>
    <rPh sb="16" eb="18">
      <t>サクジョ</t>
    </rPh>
    <rPh sb="24" eb="26">
      <t>マチガ</t>
    </rPh>
    <rPh sb="29" eb="30">
      <t>モト</t>
    </rPh>
    <rPh sb="31" eb="33">
      <t>ヨテイ</t>
    </rPh>
    <rPh sb="33" eb="34">
      <t>ヒョウ</t>
    </rPh>
    <rPh sb="39" eb="41">
      <t>サクジョ</t>
    </rPh>
    <phoneticPr fontId="5"/>
  </si>
  <si>
    <t>希望入力後、休憩時間の設定をしてください。</t>
    <rPh sb="0" eb="2">
      <t>キボウ</t>
    </rPh>
    <rPh sb="2" eb="4">
      <t>ニュウリョク</t>
    </rPh>
    <rPh sb="4" eb="5">
      <t>ゴ</t>
    </rPh>
    <rPh sb="6" eb="8">
      <t>キュウケイ</t>
    </rPh>
    <rPh sb="8" eb="10">
      <t>ジカン</t>
    </rPh>
    <rPh sb="11" eb="13">
      <t>セッテイ</t>
    </rPh>
    <phoneticPr fontId="5"/>
  </si>
  <si>
    <t>（2～5日）</t>
    <rPh sb="4" eb="5">
      <t>ニチ</t>
    </rPh>
    <phoneticPr fontId="5"/>
  </si>
  <si>
    <t>(～30×2)</t>
    <phoneticPr fontId="5"/>
  </si>
  <si>
    <t>作成された予定表シートに必要な情報を書き込み印刷してください。</t>
    <rPh sb="0" eb="2">
      <t>サクセイ</t>
    </rPh>
    <rPh sb="5" eb="7">
      <t>ヨテイ</t>
    </rPh>
    <rPh sb="7" eb="8">
      <t>ヒョウ</t>
    </rPh>
    <rPh sb="12" eb="14">
      <t>ヒツヨウ</t>
    </rPh>
    <rPh sb="15" eb="17">
      <t>ジョウホウ</t>
    </rPh>
    <rPh sb="18" eb="19">
      <t>カ</t>
    </rPh>
    <rPh sb="20" eb="21">
      <t>コ</t>
    </rPh>
    <rPh sb="22" eb="24">
      <t>インサツ</t>
    </rPh>
    <phoneticPr fontId="5"/>
  </si>
  <si>
    <t>(注意)初期設定を変えた場合、以前の設定で作成された調整シートはうまく動作しませんので注意してください。</t>
    <rPh sb="1" eb="3">
      <t>チュウイ</t>
    </rPh>
    <phoneticPr fontId="5"/>
  </si>
  <si>
    <t>(注意)希望入力シート（および調整シート）には条件書式が設定してありますので、貼り付けには注意してください。</t>
    <rPh sb="1" eb="3">
      <t>チュウイ</t>
    </rPh>
    <rPh sb="4" eb="6">
      <t>キボウ</t>
    </rPh>
    <rPh sb="6" eb="8">
      <t>ニュウリョク</t>
    </rPh>
    <rPh sb="15" eb="17">
      <t>チョウセイ</t>
    </rPh>
    <rPh sb="23" eb="25">
      <t>ジョウケン</t>
    </rPh>
    <rPh sb="25" eb="27">
      <t>ショシキ</t>
    </rPh>
    <rPh sb="28" eb="30">
      <t>セッテイ</t>
    </rPh>
    <rPh sb="39" eb="40">
      <t>ハ</t>
    </rPh>
    <rPh sb="41" eb="42">
      <t>ツ</t>
    </rPh>
    <rPh sb="45" eb="47">
      <t>チュウイ</t>
    </rPh>
    <phoneticPr fontId="5"/>
  </si>
  <si>
    <t>15</t>
    <phoneticPr fontId="5"/>
  </si>
  <si>
    <t>13</t>
    <phoneticPr fontId="5"/>
  </si>
  <si>
    <t>30</t>
    <phoneticPr fontId="5"/>
  </si>
  <si>
    <t>ver. 1.02</t>
    <phoneticPr fontId="5"/>
  </si>
  <si>
    <t>調整できない場合は、原因となる生徒が赤色表示され、理由（希望の重なり）が表示されます。希望(○/△)を増やすか、休憩・◎を見直してください。</t>
  </si>
  <si>
    <r>
      <t>「希望入力・休憩設定」メニューを表示した状態でセル</t>
    </r>
    <r>
      <rPr>
        <b/>
        <sz val="11"/>
        <rFont val="ＭＳ Ｐゴシック"/>
        <family val="3"/>
        <charset val="128"/>
      </rPr>
      <t>(複数可)</t>
    </r>
    <r>
      <rPr>
        <sz val="11"/>
        <rFont val="ＭＳ Ｐゴシック"/>
        <family val="3"/>
        <charset val="128"/>
      </rPr>
      <t>を選択後、「通常」等のボタンで設定</t>
    </r>
    <rPh sb="1" eb="3">
      <t>キボウ</t>
    </rPh>
    <rPh sb="3" eb="5">
      <t>ニュウリョク</t>
    </rPh>
    <rPh sb="6" eb="8">
      <t>キュウケイ</t>
    </rPh>
    <rPh sb="8" eb="10">
      <t>セッテイ</t>
    </rPh>
    <rPh sb="16" eb="18">
      <t>ヒョウジ</t>
    </rPh>
    <rPh sb="20" eb="22">
      <t>ジョウタイ</t>
    </rPh>
    <rPh sb="26" eb="28">
      <t>フクスウ</t>
    </rPh>
    <rPh sb="28" eb="29">
      <t>カ</t>
    </rPh>
    <rPh sb="31" eb="33">
      <t>センタク</t>
    </rPh>
    <rPh sb="33" eb="34">
      <t>ゴ</t>
    </rPh>
    <rPh sb="36" eb="38">
      <t>ツウジョウ</t>
    </rPh>
    <rPh sb="39" eb="40">
      <t>トウ</t>
    </rPh>
    <rPh sb="45" eb="47">
      <t>セッテイ</t>
    </rPh>
    <phoneticPr fontId="5"/>
  </si>
  <si>
    <t>ver. 1.03</t>
    <phoneticPr fontId="5"/>
  </si>
  <si>
    <t>ドラッグアンドドロップを禁止しました。</t>
    <rPh sb="12" eb="14">
      <t>キンシ</t>
    </rPh>
    <phoneticPr fontId="5"/>
  </si>
  <si>
    <t>日付は直接「希望入力」シート上へ入力する</t>
    <rPh sb="0" eb="2">
      <t>ヒヅケ</t>
    </rPh>
    <rPh sb="3" eb="5">
      <t>チョクセツ</t>
    </rPh>
    <rPh sb="6" eb="8">
      <t>キボウ</t>
    </rPh>
    <rPh sb="8" eb="10">
      <t>ニュウリョク</t>
    </rPh>
    <rPh sb="14" eb="15">
      <t>ジョウ</t>
    </rPh>
    <rPh sb="16" eb="18">
      <t>ニュウリョク</t>
    </rPh>
    <phoneticPr fontId="5"/>
  </si>
  <si>
    <t>（日付として入力すること・入力例："6/20"）</t>
    <rPh sb="1" eb="3">
      <t>ヒヅケ</t>
    </rPh>
    <rPh sb="6" eb="8">
      <t>ニュウリョク</t>
    </rPh>
    <rPh sb="13" eb="15">
      <t>ニュウリョク</t>
    </rPh>
    <phoneticPr fontId="5"/>
  </si>
  <si>
    <t>配列（pKoma）のサイズを修正・単純なコマの入れ替えに対応</t>
    <rPh sb="0" eb="2">
      <t>ハイレツ</t>
    </rPh>
    <rPh sb="14" eb="16">
      <t>シュウセイ</t>
    </rPh>
    <rPh sb="17" eb="19">
      <t>タンジュン</t>
    </rPh>
    <rPh sb="23" eb="24">
      <t>イ</t>
    </rPh>
    <rPh sb="25" eb="26">
      <t>カ</t>
    </rPh>
    <rPh sb="28" eb="30">
      <t>タイオウ</t>
    </rPh>
    <phoneticPr fontId="5"/>
  </si>
  <si>
    <t>ver. 1.05</t>
    <phoneticPr fontId="5"/>
  </si>
  <si>
    <t>確定</t>
    <rPh sb="0" eb="2">
      <t>カクテイ</t>
    </rPh>
    <phoneticPr fontId="5"/>
  </si>
  <si>
    <t>ver. 1.10</t>
    <phoneticPr fontId="5"/>
  </si>
  <si>
    <t>*</t>
    <phoneticPr fontId="5"/>
  </si>
  <si>
    <t>調整作業ボタンを押すと、入れ替えモードにできますので、お試しください。</t>
    <rPh sb="0" eb="2">
      <t>チョウセイ</t>
    </rPh>
    <rPh sb="2" eb="4">
      <t>サギョウ</t>
    </rPh>
    <rPh sb="8" eb="9">
      <t>オ</t>
    </rPh>
    <rPh sb="12" eb="13">
      <t>イ</t>
    </rPh>
    <rPh sb="14" eb="15">
      <t>カ</t>
    </rPh>
    <rPh sb="28" eb="29">
      <t>タメ</t>
    </rPh>
    <phoneticPr fontId="5"/>
  </si>
  <si>
    <t>予定表を作成する前にコマの入れ替え等、微調整をする場合、調整シート上のメニューボタンより、</t>
    <rPh sb="0" eb="2">
      <t>ヨテイ</t>
    </rPh>
    <rPh sb="2" eb="3">
      <t>ヒョウ</t>
    </rPh>
    <rPh sb="4" eb="6">
      <t>サクセイ</t>
    </rPh>
    <rPh sb="8" eb="9">
      <t>マエ</t>
    </rPh>
    <rPh sb="13" eb="14">
      <t>イ</t>
    </rPh>
    <rPh sb="15" eb="16">
      <t>カ</t>
    </rPh>
    <rPh sb="17" eb="18">
      <t>トウ</t>
    </rPh>
    <rPh sb="19" eb="22">
      <t>ビチョウセイ</t>
    </rPh>
    <rPh sb="25" eb="27">
      <t>バアイ</t>
    </rPh>
    <rPh sb="28" eb="30">
      <t>チョウセイ</t>
    </rPh>
    <rPh sb="33" eb="34">
      <t>ジョウ</t>
    </rPh>
    <phoneticPr fontId="5"/>
  </si>
  <si>
    <t>予定表シート上で生徒番号を入力し直せば、単純に変更できます。</t>
    <rPh sb="0" eb="2">
      <t>ヨテイ</t>
    </rPh>
    <rPh sb="2" eb="3">
      <t>ヒョウ</t>
    </rPh>
    <rPh sb="6" eb="7">
      <t>ジョウ</t>
    </rPh>
    <rPh sb="8" eb="10">
      <t>セイト</t>
    </rPh>
    <rPh sb="10" eb="12">
      <t>バンゴウ</t>
    </rPh>
    <rPh sb="13" eb="15">
      <t>ニュウリョク</t>
    </rPh>
    <rPh sb="16" eb="17">
      <t>ナオ</t>
    </rPh>
    <rPh sb="20" eb="22">
      <t>タンジュン</t>
    </rPh>
    <rPh sb="23" eb="25">
      <t>ヘンコウ</t>
    </rPh>
    <phoneticPr fontId="5"/>
  </si>
  <si>
    <t>単純なバグに対応</t>
    <rPh sb="0" eb="2">
      <t>タンジュン</t>
    </rPh>
    <rPh sb="6" eb="8">
      <t>タイオウ</t>
    </rPh>
    <phoneticPr fontId="5"/>
  </si>
  <si>
    <t>ver. 1.11</t>
    <phoneticPr fontId="5"/>
  </si>
  <si>
    <t>5</t>
    <phoneticPr fontId="5"/>
  </si>
  <si>
    <t>16</t>
    <phoneticPr fontId="5"/>
  </si>
  <si>
    <t>00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</si>
</sst>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d"/>
    <numFmt numFmtId="177" formatCode="aaa"/>
    <numFmt numFmtId="178" formatCode="m&quot;月&quot;d&quot;日(&quot;aaa&quot;)&quot;"/>
  </numFmts>
  <fonts count="17"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4"/>
      <name val="HG丸ｺﾞｼｯｸM-PRO"/>
      <family val="3"/>
      <charset val="128"/>
    </font>
    <font>
      <b/>
      <sz val="11"/>
      <name val="ＭＳ Ｐゴシック"/>
      <family val="3"/>
      <charset val="128"/>
    </font>
    <font>
      <sz val="11"/>
      <name val="ＨＧ教科書体"/>
      <family val="1"/>
      <charset val="128"/>
    </font>
    <font>
      <sz val="6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0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name val="ＨＧ教科書体"/>
      <family val="1"/>
      <charset val="128"/>
    </font>
    <font>
      <sz val="12"/>
      <name val="HG丸ｺﾞｼｯｸM-PRO"/>
      <family val="3"/>
      <charset val="128"/>
    </font>
    <font>
      <sz val="11"/>
      <name val="HG丸ｺﾞｼｯｸM-PRO"/>
      <family val="3"/>
      <charset val="128"/>
    </font>
    <font>
      <b/>
      <sz val="10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4"/>
      <name val="HG丸ｺﾞｼｯｸM-PRO"/>
      <family val="3"/>
      <charset val="128"/>
    </font>
    <font>
      <b/>
      <sz val="11"/>
      <name val="HG丸ｺﾞｼｯｸM-PRO"/>
      <family val="3"/>
      <charset val="128"/>
    </font>
    <font>
      <sz val="11"/>
      <color rgb="FFFF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indexed="3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42">
    <xf numFmtId="0" fontId="0" fillId="0" borderId="0" xfId="0"/>
    <xf numFmtId="56" fontId="2" fillId="0" borderId="1" xfId="2" applyNumberFormat="1" applyFont="1" applyBorder="1" applyAlignment="1" applyProtection="1">
      <alignment horizontal="centerContinuous" vertical="center"/>
      <protection locked="0"/>
    </xf>
    <xf numFmtId="56" fontId="2" fillId="0" borderId="2" xfId="2" applyNumberFormat="1" applyFont="1" applyBorder="1" applyAlignment="1" applyProtection="1">
      <alignment horizontal="centerContinuous" vertical="center"/>
      <protection locked="0"/>
    </xf>
    <xf numFmtId="56" fontId="2" fillId="0" borderId="3" xfId="2" applyNumberFormat="1" applyFont="1" applyBorder="1" applyAlignment="1" applyProtection="1">
      <alignment horizontal="centerContinuous" vertical="center"/>
      <protection locked="0"/>
    </xf>
    <xf numFmtId="0" fontId="2" fillId="0" borderId="0" xfId="2" applyFont="1"/>
    <xf numFmtId="176" fontId="2" fillId="0" borderId="4" xfId="2" applyNumberFormat="1" applyFont="1" applyBorder="1" applyAlignment="1">
      <alignment horizontal="centerContinuous" vertical="center"/>
    </xf>
    <xf numFmtId="176" fontId="2" fillId="0" borderId="5" xfId="2" applyNumberFormat="1" applyFont="1" applyBorder="1" applyAlignment="1">
      <alignment horizontal="centerContinuous" vertical="center"/>
    </xf>
    <xf numFmtId="176" fontId="2" fillId="0" borderId="6" xfId="2" applyNumberFormat="1" applyFont="1" applyBorder="1" applyAlignment="1">
      <alignment horizontal="centerContinuous" vertical="center"/>
    </xf>
    <xf numFmtId="0" fontId="2" fillId="0" borderId="0" xfId="2" applyFont="1" applyAlignment="1">
      <alignment vertical="center"/>
    </xf>
    <xf numFmtId="20" fontId="2" fillId="0" borderId="0" xfId="2" applyNumberFormat="1" applyFont="1" applyAlignment="1">
      <alignment vertical="center"/>
    </xf>
    <xf numFmtId="0" fontId="4" fillId="0" borderId="0" xfId="0" applyFont="1" applyProtection="1">
      <protection locked="0"/>
    </xf>
    <xf numFmtId="0" fontId="3" fillId="0" borderId="0" xfId="0" applyFont="1" applyAlignment="1">
      <alignment horizontal="center"/>
    </xf>
    <xf numFmtId="56" fontId="2" fillId="0" borderId="17" xfId="2" applyNumberFormat="1" applyFont="1" applyBorder="1" applyAlignment="1" applyProtection="1">
      <alignment horizontal="centerContinuous" vertical="center"/>
      <protection locked="0"/>
    </xf>
    <xf numFmtId="56" fontId="2" fillId="0" borderId="18" xfId="2" applyNumberFormat="1" applyFont="1" applyBorder="1" applyAlignment="1" applyProtection="1">
      <alignment horizontal="centerContinuous" vertical="center"/>
      <protection locked="0"/>
    </xf>
    <xf numFmtId="177" fontId="2" fillId="0" borderId="19" xfId="2" applyNumberFormat="1" applyFont="1" applyBorder="1" applyAlignment="1">
      <alignment horizontal="centerContinuous" vertical="center"/>
    </xf>
    <xf numFmtId="176" fontId="2" fillId="0" borderId="20" xfId="2" applyNumberFormat="1" applyFont="1" applyBorder="1" applyAlignment="1">
      <alignment horizontal="centerContinuous" vertical="center"/>
    </xf>
    <xf numFmtId="177" fontId="2" fillId="0" borderId="21" xfId="2" applyNumberFormat="1" applyFont="1" applyBorder="1" applyAlignment="1">
      <alignment horizontal="centerContinuous" vertical="center"/>
    </xf>
    <xf numFmtId="176" fontId="2" fillId="0" borderId="22" xfId="2" applyNumberFormat="1" applyFont="1" applyBorder="1" applyAlignment="1">
      <alignment horizontal="centerContinuous" vertical="center"/>
    </xf>
    <xf numFmtId="177" fontId="2" fillId="0" borderId="23" xfId="2" applyNumberFormat="1" applyFont="1" applyBorder="1" applyAlignment="1">
      <alignment horizontal="centerContinuous" vertical="center"/>
    </xf>
    <xf numFmtId="0" fontId="10" fillId="0" borderId="25" xfId="2" applyFont="1" applyBorder="1" applyAlignment="1">
      <alignment vertical="center"/>
    </xf>
    <xf numFmtId="0" fontId="10" fillId="0" borderId="12" xfId="2" applyFont="1" applyBorder="1" applyAlignment="1">
      <alignment vertical="center"/>
    </xf>
    <xf numFmtId="0" fontId="10" fillId="0" borderId="26" xfId="2" applyFont="1" applyBorder="1" applyAlignment="1">
      <alignment vertical="center"/>
    </xf>
    <xf numFmtId="0" fontId="10" fillId="0" borderId="28" xfId="2" applyFont="1" applyBorder="1" applyAlignment="1">
      <alignment vertical="center"/>
    </xf>
    <xf numFmtId="0" fontId="10" fillId="0" borderId="29" xfId="2" applyFont="1" applyBorder="1" applyAlignment="1">
      <alignment vertical="center"/>
    </xf>
    <xf numFmtId="0" fontId="10" fillId="0" borderId="30" xfId="2" applyFont="1" applyBorder="1" applyAlignment="1">
      <alignment vertical="center"/>
    </xf>
    <xf numFmtId="0" fontId="11" fillId="0" borderId="24" xfId="2" applyFont="1" applyBorder="1" applyAlignment="1" applyProtection="1">
      <alignment vertical="center"/>
      <protection locked="0"/>
    </xf>
    <xf numFmtId="0" fontId="11" fillId="0" borderId="27" xfId="2" applyFont="1" applyBorder="1" applyAlignment="1" applyProtection="1">
      <alignment vertical="center"/>
      <protection locked="0"/>
    </xf>
    <xf numFmtId="0" fontId="11" fillId="0" borderId="11" xfId="2" applyFont="1" applyBorder="1" applyAlignment="1" applyProtection="1">
      <alignment vertical="center"/>
      <protection locked="0"/>
    </xf>
    <xf numFmtId="0" fontId="11" fillId="0" borderId="31" xfId="2" applyFont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vertical="center"/>
    </xf>
    <xf numFmtId="0" fontId="9" fillId="2" borderId="10" xfId="0" applyFont="1" applyFill="1" applyBorder="1" applyAlignment="1">
      <alignment vertical="center"/>
    </xf>
    <xf numFmtId="0" fontId="9" fillId="2" borderId="37" xfId="0" applyFont="1" applyFill="1" applyBorder="1" applyAlignment="1">
      <alignment vertical="center"/>
    </xf>
    <xf numFmtId="0" fontId="7" fillId="2" borderId="11" xfId="0" applyFont="1" applyFill="1" applyBorder="1" applyAlignment="1">
      <alignment vertical="center"/>
    </xf>
    <xf numFmtId="0" fontId="9" fillId="2" borderId="12" xfId="0" applyFont="1" applyFill="1" applyBorder="1" applyAlignment="1">
      <alignment vertical="center"/>
    </xf>
    <xf numFmtId="0" fontId="9" fillId="2" borderId="26" xfId="0" applyFont="1" applyFill="1" applyBorder="1" applyAlignment="1">
      <alignment vertical="center"/>
    </xf>
    <xf numFmtId="0" fontId="7" fillId="2" borderId="13" xfId="0" applyFont="1" applyFill="1" applyBorder="1" applyAlignment="1">
      <alignment vertical="center"/>
    </xf>
    <xf numFmtId="0" fontId="9" fillId="2" borderId="14" xfId="0" applyFont="1" applyFill="1" applyBorder="1" applyAlignment="1">
      <alignment vertical="center"/>
    </xf>
    <xf numFmtId="0" fontId="9" fillId="2" borderId="38" xfId="0" applyFont="1" applyFill="1" applyBorder="1" applyAlignment="1">
      <alignment vertical="center"/>
    </xf>
    <xf numFmtId="0" fontId="7" fillId="2" borderId="15" xfId="0" applyFont="1" applyFill="1" applyBorder="1" applyAlignment="1">
      <alignment vertical="center"/>
    </xf>
    <xf numFmtId="0" fontId="9" fillId="2" borderId="16" xfId="0" applyFont="1" applyFill="1" applyBorder="1" applyAlignment="1">
      <alignment vertical="center"/>
    </xf>
    <xf numFmtId="0" fontId="9" fillId="2" borderId="39" xfId="0" applyFont="1" applyFill="1" applyBorder="1" applyAlignment="1">
      <alignment vertical="center"/>
    </xf>
    <xf numFmtId="0" fontId="2" fillId="0" borderId="42" xfId="2" applyFont="1" applyBorder="1"/>
    <xf numFmtId="20" fontId="10" fillId="0" borderId="24" xfId="2" applyNumberFormat="1" applyFont="1" applyBorder="1" applyAlignment="1" applyProtection="1">
      <alignment vertical="center"/>
      <protection locked="0"/>
    </xf>
    <xf numFmtId="20" fontId="10" fillId="0" borderId="27" xfId="2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/>
    <xf numFmtId="0" fontId="0" fillId="0" borderId="0" xfId="0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2" borderId="40" xfId="0" applyFill="1" applyBorder="1" applyAlignment="1">
      <alignment vertical="center"/>
    </xf>
    <xf numFmtId="0" fontId="0" fillId="2" borderId="0" xfId="0" applyFill="1" applyAlignment="1" applyProtection="1">
      <alignment vertical="center"/>
      <protection locked="0"/>
    </xf>
    <xf numFmtId="0" fontId="0" fillId="2" borderId="7" xfId="0" applyFill="1" applyBorder="1" applyAlignment="1">
      <alignment horizontal="right" vertical="center"/>
    </xf>
    <xf numFmtId="0" fontId="0" fillId="2" borderId="32" xfId="0" applyFill="1" applyBorder="1" applyAlignment="1">
      <alignment vertical="center"/>
    </xf>
    <xf numFmtId="0" fontId="0" fillId="2" borderId="8" xfId="0" applyFill="1" applyBorder="1" applyAlignment="1">
      <alignment horizontal="right" vertical="center"/>
    </xf>
    <xf numFmtId="20" fontId="0" fillId="0" borderId="0" xfId="0" applyNumberFormat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4" fillId="0" borderId="0" xfId="0" applyFont="1"/>
    <xf numFmtId="0" fontId="15" fillId="0" borderId="0" xfId="0" applyFont="1" applyAlignment="1">
      <alignment vertical="center"/>
    </xf>
    <xf numFmtId="0" fontId="0" fillId="0" borderId="43" xfId="0" applyBorder="1" applyAlignment="1">
      <alignment horizontal="left" vertical="center"/>
    </xf>
    <xf numFmtId="0" fontId="0" fillId="0" borderId="43" xfId="0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14" fontId="0" fillId="0" borderId="0" xfId="0" applyNumberFormat="1" applyAlignment="1">
      <alignment vertical="center"/>
    </xf>
    <xf numFmtId="0" fontId="2" fillId="0" borderId="41" xfId="2" applyFont="1" applyBorder="1" applyAlignment="1" applyProtection="1">
      <alignment vertical="center"/>
      <protection locked="0"/>
    </xf>
    <xf numFmtId="0" fontId="2" fillId="0" borderId="0" xfId="2" applyFont="1" applyAlignment="1" applyProtection="1">
      <alignment vertical="center"/>
      <protection locked="0"/>
    </xf>
    <xf numFmtId="20" fontId="10" fillId="0" borderId="0" xfId="2" applyNumberFormat="1" applyFont="1" applyAlignment="1" applyProtection="1">
      <alignment vertical="center"/>
      <protection locked="0"/>
    </xf>
    <xf numFmtId="0" fontId="10" fillId="0" borderId="0" xfId="2" applyFont="1" applyAlignment="1" applyProtection="1">
      <alignment vertical="center"/>
      <protection locked="0"/>
    </xf>
    <xf numFmtId="0" fontId="10" fillId="0" borderId="0" xfId="2" applyFont="1" applyProtection="1">
      <protection locked="0"/>
    </xf>
    <xf numFmtId="0" fontId="10" fillId="0" borderId="41" xfId="2" applyFont="1" applyBorder="1" applyAlignment="1" applyProtection="1">
      <alignment vertical="center"/>
      <protection locked="0"/>
    </xf>
    <xf numFmtId="0" fontId="10" fillId="0" borderId="0" xfId="2" applyFont="1"/>
    <xf numFmtId="0" fontId="0" fillId="0" borderId="0" xfId="0" applyAlignment="1" applyProtection="1">
      <alignment horizontal="right" vertical="center"/>
      <protection locked="0"/>
    </xf>
    <xf numFmtId="14" fontId="0" fillId="0" borderId="0" xfId="0" applyNumberFormat="1" applyProtection="1">
      <protection locked="0"/>
    </xf>
    <xf numFmtId="0" fontId="0" fillId="0" borderId="0" xfId="0" applyAlignment="1">
      <alignment horizontal="right"/>
    </xf>
    <xf numFmtId="14" fontId="0" fillId="0" borderId="0" xfId="0" applyNumberFormat="1"/>
    <xf numFmtId="49" fontId="7" fillId="0" borderId="0" xfId="0" applyNumberFormat="1" applyFont="1" applyAlignment="1" applyProtection="1">
      <alignment vertical="center"/>
      <protection locked="0"/>
    </xf>
    <xf numFmtId="178" fontId="0" fillId="0" borderId="46" xfId="0" applyNumberFormat="1" applyBorder="1" applyAlignment="1" applyProtection="1">
      <alignment horizontal="center" vertical="center"/>
      <protection locked="0"/>
    </xf>
    <xf numFmtId="178" fontId="0" fillId="0" borderId="47" xfId="0" applyNumberFormat="1" applyBorder="1" applyAlignment="1" applyProtection="1">
      <alignment horizontal="center" vertical="center"/>
      <protection locked="0"/>
    </xf>
    <xf numFmtId="20" fontId="8" fillId="0" borderId="46" xfId="0" applyNumberFormat="1" applyFont="1" applyBorder="1" applyAlignment="1" applyProtection="1">
      <alignment horizontal="center" vertical="center"/>
      <protection locked="0"/>
    </xf>
    <xf numFmtId="20" fontId="8" fillId="0" borderId="47" xfId="0" applyNumberFormat="1" applyFont="1" applyBorder="1" applyAlignment="1" applyProtection="1">
      <alignment horizontal="center" vertical="center"/>
      <protection locked="0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0" fillId="0" borderId="52" xfId="0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horizontal="center" vertical="center"/>
      <protection locked="0"/>
    </xf>
    <xf numFmtId="0" fontId="0" fillId="0" borderId="55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59" xfId="0" applyBorder="1" applyAlignment="1" applyProtection="1">
      <alignment horizontal="center" vertical="center"/>
      <protection locked="0"/>
    </xf>
    <xf numFmtId="20" fontId="8" fillId="0" borderId="61" xfId="0" applyNumberFormat="1" applyFont="1" applyBorder="1" applyAlignment="1" applyProtection="1">
      <alignment horizontal="center"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178" fontId="0" fillId="0" borderId="60" xfId="0" applyNumberFormat="1" applyBorder="1" applyAlignment="1" applyProtection="1">
      <alignment horizontal="center" vertical="center"/>
      <protection locked="0"/>
    </xf>
    <xf numFmtId="20" fontId="8" fillId="0" borderId="60" xfId="0" applyNumberFormat="1" applyFont="1" applyBorder="1" applyAlignment="1" applyProtection="1">
      <alignment horizontal="center" vertical="center"/>
      <protection locked="0"/>
    </xf>
    <xf numFmtId="0" fontId="0" fillId="0" borderId="66" xfId="0" applyBorder="1" applyAlignment="1" applyProtection="1">
      <alignment horizontal="center" vertical="center"/>
      <protection locked="0"/>
    </xf>
    <xf numFmtId="0" fontId="0" fillId="0" borderId="67" xfId="0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center" vertical="center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20" fontId="8" fillId="4" borderId="45" xfId="0" applyNumberFormat="1" applyFont="1" applyFill="1" applyBorder="1" applyAlignment="1" applyProtection="1">
      <alignment horizontal="center" vertical="center"/>
      <protection locked="0"/>
    </xf>
    <xf numFmtId="0" fontId="0" fillId="4" borderId="48" xfId="0" applyFill="1" applyBorder="1" applyAlignment="1" applyProtection="1">
      <alignment horizontal="center" vertical="center"/>
      <protection locked="0"/>
    </xf>
    <xf numFmtId="0" fontId="0" fillId="4" borderId="51" xfId="0" applyFill="1" applyBorder="1" applyAlignment="1" applyProtection="1">
      <alignment horizontal="center" vertical="center"/>
      <protection locked="0"/>
    </xf>
    <xf numFmtId="0" fontId="0" fillId="4" borderId="54" xfId="0" applyFill="1" applyBorder="1" applyAlignment="1" applyProtection="1">
      <alignment horizontal="center" vertical="center"/>
      <protection locked="0"/>
    </xf>
    <xf numFmtId="0" fontId="0" fillId="4" borderId="57" xfId="0" applyFill="1" applyBorder="1" applyAlignment="1" applyProtection="1">
      <alignment horizontal="center" vertical="center"/>
      <protection locked="0"/>
    </xf>
    <xf numFmtId="20" fontId="8" fillId="4" borderId="60" xfId="0" applyNumberFormat="1" applyFont="1" applyFill="1" applyBorder="1" applyAlignment="1" applyProtection="1">
      <alignment horizontal="center" vertical="center"/>
      <protection locked="0"/>
    </xf>
    <xf numFmtId="0" fontId="0" fillId="4" borderId="66" xfId="0" applyFill="1" applyBorder="1" applyAlignment="1" applyProtection="1">
      <alignment horizontal="center" vertical="center"/>
      <protection locked="0"/>
    </xf>
    <xf numFmtId="0" fontId="0" fillId="4" borderId="67" xfId="0" applyFill="1" applyBorder="1" applyAlignment="1" applyProtection="1">
      <alignment horizontal="center" vertical="center"/>
      <protection locked="0"/>
    </xf>
    <xf numFmtId="0" fontId="0" fillId="4" borderId="68" xfId="0" applyFill="1" applyBorder="1" applyAlignment="1" applyProtection="1">
      <alignment horizontal="center" vertical="center"/>
      <protection locked="0"/>
    </xf>
    <xf numFmtId="0" fontId="0" fillId="4" borderId="69" xfId="0" applyFill="1" applyBorder="1" applyAlignment="1" applyProtection="1">
      <alignment horizontal="center" vertical="center"/>
      <protection locked="0"/>
    </xf>
    <xf numFmtId="20" fontId="8" fillId="4" borderId="46" xfId="0" applyNumberFormat="1" applyFont="1" applyFill="1" applyBorder="1" applyAlignment="1" applyProtection="1">
      <alignment horizontal="center" vertical="center"/>
      <protection locked="0"/>
    </xf>
    <xf numFmtId="0" fontId="0" fillId="4" borderId="49" xfId="0" applyFill="1" applyBorder="1" applyAlignment="1" applyProtection="1">
      <alignment horizontal="center" vertical="center"/>
      <protection locked="0"/>
    </xf>
    <xf numFmtId="0" fontId="0" fillId="4" borderId="52" xfId="0" applyFill="1" applyBorder="1" applyAlignment="1" applyProtection="1">
      <alignment horizontal="center" vertical="center"/>
      <protection locked="0"/>
    </xf>
    <xf numFmtId="0" fontId="0" fillId="4" borderId="55" xfId="0" applyFill="1" applyBorder="1" applyAlignment="1" applyProtection="1">
      <alignment horizontal="center" vertical="center"/>
      <protection locked="0"/>
    </xf>
    <xf numFmtId="0" fontId="0" fillId="4" borderId="58" xfId="0" applyFill="1" applyBorder="1" applyAlignment="1" applyProtection="1">
      <alignment horizontal="center" vertical="center"/>
      <protection locked="0"/>
    </xf>
    <xf numFmtId="0" fontId="0" fillId="0" borderId="67" xfId="0" applyFill="1" applyBorder="1" applyAlignment="1" applyProtection="1">
      <alignment horizontal="center" vertical="center"/>
      <protection locked="0"/>
    </xf>
    <xf numFmtId="0" fontId="0" fillId="0" borderId="68" xfId="0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 applyProtection="1">
      <alignment horizontal="center" vertical="center"/>
      <protection locked="0"/>
    </xf>
    <xf numFmtId="20" fontId="8" fillId="0" borderId="46" xfId="0" applyNumberFormat="1" applyFont="1" applyFill="1" applyBorder="1" applyAlignment="1" applyProtection="1">
      <alignment horizontal="center" vertical="center"/>
      <protection locked="0"/>
    </xf>
    <xf numFmtId="0" fontId="0" fillId="0" borderId="49" xfId="0" applyFill="1" applyBorder="1" applyAlignment="1" applyProtection="1">
      <alignment horizontal="center" vertical="center"/>
      <protection locked="0"/>
    </xf>
    <xf numFmtId="0" fontId="0" fillId="0" borderId="52" xfId="0" applyFill="1" applyBorder="1" applyAlignment="1" applyProtection="1">
      <alignment horizontal="center" vertical="center"/>
      <protection locked="0"/>
    </xf>
    <xf numFmtId="0" fontId="0" fillId="0" borderId="55" xfId="0" applyFill="1" applyBorder="1" applyAlignment="1" applyProtection="1">
      <alignment horizontal="center" vertical="center"/>
      <protection locked="0"/>
    </xf>
    <xf numFmtId="0" fontId="0" fillId="0" borderId="58" xfId="0" applyFill="1" applyBorder="1" applyAlignment="1" applyProtection="1">
      <alignment horizontal="center" vertical="center"/>
      <protection locked="0"/>
    </xf>
    <xf numFmtId="0" fontId="0" fillId="0" borderId="51" xfId="0" applyFill="1" applyBorder="1" applyAlignment="1" applyProtection="1">
      <alignment horizontal="center" vertical="center"/>
      <protection locked="0"/>
    </xf>
    <xf numFmtId="0" fontId="0" fillId="0" borderId="54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78" fontId="0" fillId="3" borderId="44" xfId="0" applyNumberFormat="1" applyFill="1" applyBorder="1" applyAlignment="1" applyProtection="1">
      <alignment horizontal="center" vertical="center"/>
      <protection locked="0"/>
    </xf>
    <xf numFmtId="178" fontId="0" fillId="3" borderId="8" xfId="0" applyNumberFormat="1" applyFill="1" applyBorder="1" applyAlignment="1" applyProtection="1">
      <alignment horizontal="center" vertical="center"/>
      <protection locked="0"/>
    </xf>
    <xf numFmtId="178" fontId="0" fillId="3" borderId="70" xfId="0" applyNumberFormat="1" applyFill="1" applyBorder="1" applyAlignment="1" applyProtection="1">
      <alignment horizontal="center" vertical="center"/>
      <protection locked="0"/>
    </xf>
    <xf numFmtId="178" fontId="0" fillId="3" borderId="71" xfId="0" applyNumberFormat="1" applyFill="1" applyBorder="1" applyAlignment="1" applyProtection="1">
      <alignment horizontal="center" vertical="center"/>
      <protection locked="0"/>
    </xf>
    <xf numFmtId="0" fontId="11" fillId="0" borderId="33" xfId="2" applyFont="1" applyBorder="1" applyAlignment="1">
      <alignment horizontal="left" vertical="center"/>
    </xf>
    <xf numFmtId="0" fontId="11" fillId="0" borderId="34" xfId="2" applyFont="1" applyBorder="1" applyAlignment="1">
      <alignment horizontal="left" vertical="center"/>
    </xf>
    <xf numFmtId="0" fontId="10" fillId="0" borderId="35" xfId="2" applyFont="1" applyBorder="1" applyAlignment="1">
      <alignment horizontal="right" vertical="center"/>
    </xf>
    <xf numFmtId="0" fontId="10" fillId="0" borderId="36" xfId="2" applyFont="1" applyBorder="1" applyAlignment="1">
      <alignment horizontal="right" vertical="center"/>
    </xf>
  </cellXfs>
  <cellStyles count="3">
    <cellStyle name="標準" xfId="0" builtinId="0"/>
    <cellStyle name="標準 2" xfId="1" xr:uid="{00000000-0005-0000-0000-000001000000}"/>
    <cellStyle name="標準_6組生徒" xfId="2" xr:uid="{00000000-0005-0000-0000-000002000000}"/>
  </cellStyles>
  <dxfs count="5"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rgb="FFFFFF66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  <color rgb="FFFFFFCC"/>
      <color rgb="FFFFFF99"/>
      <color rgb="FFE6EBB5"/>
      <color rgb="FFFF0000"/>
      <color rgb="FFFF339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3305175</xdr:colOff>
      <xdr:row>6</xdr:row>
      <xdr:rowOff>180975</xdr:rowOff>
    </xdr:from>
    <xdr:to>
      <xdr:col>4</xdr:col>
      <xdr:colOff>4219575</xdr:colOff>
      <xdr:row>8</xdr:row>
      <xdr:rowOff>104775</xdr:rowOff>
    </xdr:to>
    <xdr:sp macro="[0]!BtnSettings" textlink="">
      <xdr:nvSpPr>
        <xdr:cNvPr id="2" name="BtnSettings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472C4"/>
        </a:solidFill>
        <a:ln>
          <a:solidFill>
            <a:srgbClr val="2F528F"/>
          </a:solidFill>
        </a:ln>
      </xdr:spPr>
      <xdr:txBody>
        <a:bodyPr vertOverflow="clip" horzOverflow="clip" anchor="ctr"/>
        <a:lstStyle/>
        <a:p>
          <a:pPr algn="ctr"/>
          <a:r>
            <a:rPr lang="ja-JP" sz="1100" b="1">
              <a:solidFill>
                <a:srgbClr val="FFFFFF"/>
              </a:solidFill>
            </a:rPr>
            <a:t>初期設定</a:t>
          </a:r>
        </a:p>
      </xdr:txBody>
    </xdr:sp>
    <xdr:clientData fPrintsWithSheet="0"/>
  </xdr:twoCellAnchor>
  <xdr:twoCellAnchor editAs="oneCell">
    <xdr:from>
      <xdr:col>4</xdr:col>
      <xdr:colOff>3305175</xdr:colOff>
      <xdr:row>9</xdr:row>
      <xdr:rowOff>180975</xdr:rowOff>
    </xdr:from>
    <xdr:to>
      <xdr:col>4</xdr:col>
      <xdr:colOff>4219575</xdr:colOff>
      <xdr:row>11</xdr:row>
      <xdr:rowOff>104775</xdr:rowOff>
    </xdr:to>
    <xdr:sp macro="[0]!BtnImport" textlink="">
      <xdr:nvSpPr>
        <xdr:cNvPr id="3" name="BtnImpor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548235"/>
        </a:solidFill>
        <a:ln>
          <a:solidFill>
            <a:srgbClr val="375623"/>
          </a:solidFill>
        </a:ln>
      </xdr:spPr>
      <xdr:txBody>
        <a:bodyPr vertOverflow="clip" horzOverflow="clip" anchor="ctr"/>
        <a:lstStyle/>
        <a:p>
          <a:pPr algn="ctr"/>
          <a:r>
            <a:rPr lang="ja-JP" sz="1100" b="1">
              <a:solidFill>
                <a:srgbClr val="FFFFFF"/>
              </a:solidFill>
            </a:rPr>
            <a:t>希望を取り込む</a:t>
          </a:r>
        </a:p>
      </xdr:txBody>
    </xdr:sp>
    <xdr:clientData fPrintsWithSheet="0"/>
  </xdr:twoCellAnchor>
  <xdr:twoCellAnchor editAs="oneCell">
    <xdr:from>
      <xdr:col>4</xdr:col>
      <xdr:colOff>3305175</xdr:colOff>
      <xdr:row>12</xdr:row>
      <xdr:rowOff>180975</xdr:rowOff>
    </xdr:from>
    <xdr:to>
      <xdr:col>4</xdr:col>
      <xdr:colOff>4219575</xdr:colOff>
      <xdr:row>14</xdr:row>
      <xdr:rowOff>104775</xdr:rowOff>
    </xdr:to>
    <xdr:sp macro="[0]!BtnQuickInput" textlink="">
      <xdr:nvSpPr>
        <xdr:cNvPr id="4" name="BtnQuickInpu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548235"/>
        </a:solidFill>
        <a:ln>
          <a:solidFill>
            <a:srgbClr val="375623"/>
          </a:solidFill>
        </a:ln>
      </xdr:spPr>
      <xdr:txBody>
        <a:bodyPr vertOverflow="clip" horzOverflow="clip" anchor="ctr"/>
        <a:lstStyle/>
        <a:p>
          <a:pPr algn="ctr"/>
          <a:r>
            <a:rPr lang="ja-JP" sz="1100" b="1">
              <a:solidFill>
                <a:srgbClr val="FFFFFF"/>
              </a:solidFill>
            </a:rPr>
            <a:t>クイック入力</a:t>
          </a:r>
        </a:p>
      </xdr:txBody>
    </xdr:sp>
    <xdr:clientData fPrintsWithSheet="0"/>
  </xdr:twoCellAnchor>
  <xdr:twoCellAnchor editAs="oneCell">
    <xdr:from>
      <xdr:col>4</xdr:col>
      <xdr:colOff>3305175</xdr:colOff>
      <xdr:row>15</xdr:row>
      <xdr:rowOff>180975</xdr:rowOff>
    </xdr:from>
    <xdr:to>
      <xdr:col>4</xdr:col>
      <xdr:colOff>4219575</xdr:colOff>
      <xdr:row>17</xdr:row>
      <xdr:rowOff>104775</xdr:rowOff>
    </xdr:to>
    <xdr:sp macro="[0]!BtnSurveyPrint" textlink="">
      <xdr:nvSpPr>
        <xdr:cNvPr id="5" name="BtnSurveyPrint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BF8F00"/>
        </a:solidFill>
        <a:ln>
          <a:solidFill>
            <a:srgbClr val="806000"/>
          </a:solidFill>
        </a:ln>
      </xdr:spPr>
      <xdr:txBody>
        <a:bodyPr vertOverflow="clip" horzOverflow="clip" anchor="ctr"/>
        <a:lstStyle/>
        <a:p>
          <a:pPr algn="ctr"/>
          <a:r>
            <a:rPr lang="ja-JP" sz="1100" b="1">
              <a:solidFill>
                <a:srgbClr val="FFFFFF"/>
              </a:solidFill>
            </a:rPr>
            <a:t>調査票を印刷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19050</xdr:rowOff>
    </xdr:from>
    <xdr:to>
      <xdr:col>2</xdr:col>
      <xdr:colOff>447675</xdr:colOff>
      <xdr:row>0</xdr:row>
      <xdr:rowOff>323850</xdr:rowOff>
    </xdr:to>
    <xdr:sp macro="[0]!BtnMenu" textlink="">
      <xdr:nvSpPr>
        <xdr:cNvPr id="2" name="BtnMenu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472C4"/>
        </a:solidFill>
        <a:ln>
          <a:solidFill>
            <a:srgbClr val="2F528F"/>
          </a:solidFill>
        </a:ln>
      </xdr:spPr>
      <xdr:txBody>
        <a:bodyPr vertOverflow="clip" horzOverflow="clip" anchor="ctr"/>
        <a:lstStyle/>
        <a:p>
          <a:pPr algn="ctr"/>
          <a:r>
            <a:rPr lang="ja-JP" sz="1100" b="1">
              <a:solidFill>
                <a:srgbClr val="FFFFFF"/>
              </a:solidFill>
            </a:rPr>
            <a:t>メニュー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B2:N50"/>
  <sheetViews>
    <sheetView workbookViewId="0"/>
  </sheetViews>
  <sheetFormatPr defaultRowHeight="13.5"/>
  <cols>
    <col min="1" max="1" width="2.75" customWidth="1"/>
    <col min="2" max="2" width="2.875" customWidth="1"/>
    <col min="3" max="3" width="2" customWidth="1"/>
    <col min="4" max="4" width="2.75" customWidth="1"/>
    <col min="5" max="5" width="57.5" customWidth="1"/>
    <col min="6" max="6" width="11.75" customWidth="1"/>
    <col min="7" max="7" width="4.75" customWidth="1"/>
    <col min="8" max="8" width="3.5" customWidth="1"/>
    <col min="9" max="12" width="3.375" customWidth="1"/>
  </cols>
  <sheetData>
    <row r="2" spans="2:14" ht="17.25">
      <c r="B2" s="66" t="s">
        <v>7</v>
      </c>
    </row>
    <row r="4" spans="2:14" s="57" customFormat="1" ht="15" customHeight="1">
      <c r="B4" s="67">
        <v>0</v>
      </c>
      <c r="C4" s="67" t="s">
        <v>9</v>
      </c>
      <c r="H4" s="58" t="s">
        <v>21</v>
      </c>
      <c r="I4" s="59">
        <f>MAX(名簿!A2:A51)</f>
        <v>35</v>
      </c>
      <c r="M4" s="58" t="s">
        <v>22</v>
      </c>
      <c r="N4" s="60">
        <v>19.399999999999999</v>
      </c>
    </row>
    <row r="5" spans="2:14" s="57" customFormat="1" ht="9" customHeight="1"/>
    <row r="6" spans="2:14" s="57" customFormat="1" ht="15" customHeight="1">
      <c r="C6" s="57" t="s">
        <v>30</v>
      </c>
      <c r="D6" s="57" t="s">
        <v>31</v>
      </c>
    </row>
    <row r="7" spans="2:14" s="57" customFormat="1" ht="15" customHeight="1"/>
    <row r="8" spans="2:14" s="57" customFormat="1" ht="15" customHeight="1">
      <c r="B8" s="67">
        <v>1</v>
      </c>
      <c r="C8" s="67" t="s">
        <v>8</v>
      </c>
      <c r="H8" s="58" t="s">
        <v>10</v>
      </c>
      <c r="I8" s="61" t="s">
        <v>69</v>
      </c>
      <c r="J8" s="62" t="s">
        <v>13</v>
      </c>
      <c r="M8" s="57" t="s">
        <v>44</v>
      </c>
    </row>
    <row r="9" spans="2:14" s="57" customFormat="1" ht="15" customHeight="1">
      <c r="H9" s="58" t="s">
        <v>11</v>
      </c>
      <c r="I9" s="61" t="s">
        <v>50</v>
      </c>
      <c r="J9" s="31" t="s">
        <v>14</v>
      </c>
      <c r="K9" s="63" t="s">
        <v>51</v>
      </c>
      <c r="L9" s="62" t="s">
        <v>15</v>
      </c>
      <c r="N9" s="57">
        <f>TIMEVALUE(CONCATENATE(開始時,":",開始分))</f>
        <v>0.5625</v>
      </c>
    </row>
    <row r="10" spans="2:14" s="57" customFormat="1" ht="15" customHeight="1">
      <c r="C10" s="57" t="s">
        <v>30</v>
      </c>
      <c r="D10" s="57" t="s">
        <v>32</v>
      </c>
      <c r="H10" s="58" t="s">
        <v>12</v>
      </c>
      <c r="I10" s="61" t="s">
        <v>70</v>
      </c>
      <c r="J10" s="31" t="s">
        <v>14</v>
      </c>
      <c r="K10" s="63" t="s">
        <v>71</v>
      </c>
      <c r="L10" s="62" t="s">
        <v>15</v>
      </c>
      <c r="N10" s="57">
        <f>TIMEVALUE(CONCATENATE(最終時,":",最終分))</f>
        <v>0.66666666666666663</v>
      </c>
    </row>
    <row r="11" spans="2:14" s="57" customFormat="1" ht="15" customHeight="1">
      <c r="C11" s="57" t="s">
        <v>30</v>
      </c>
      <c r="D11" s="54" t="s">
        <v>57</v>
      </c>
      <c r="H11" s="58" t="s">
        <v>16</v>
      </c>
      <c r="I11" s="61" t="s">
        <v>49</v>
      </c>
      <c r="J11" s="62" t="s">
        <v>15</v>
      </c>
      <c r="N11" s="57">
        <f>TIMEVALUE(CONCATENATE("0:",時間))</f>
        <v>1.0416666666666666E-2</v>
      </c>
    </row>
    <row r="12" spans="2:14" s="57" customFormat="1" ht="15" customHeight="1">
      <c r="E12" s="57" t="s">
        <v>58</v>
      </c>
      <c r="H12" s="58" t="s">
        <v>17</v>
      </c>
      <c r="I12" s="59">
        <f>(N10-N9)/N11+1</f>
        <v>10.999999999999996</v>
      </c>
      <c r="M12" s="57" t="s">
        <v>45</v>
      </c>
    </row>
    <row r="13" spans="2:14" s="57" customFormat="1" ht="15" customHeight="1"/>
    <row r="14" spans="2:14" s="57" customFormat="1" ht="15" customHeight="1">
      <c r="B14" s="67">
        <v>2</v>
      </c>
      <c r="C14" s="67" t="s">
        <v>27</v>
      </c>
    </row>
    <row r="15" spans="2:14" s="57" customFormat="1" ht="9" customHeight="1"/>
    <row r="16" spans="2:14" s="57" customFormat="1" ht="15" customHeight="1">
      <c r="C16" s="57" t="s">
        <v>30</v>
      </c>
      <c r="D16" s="57" t="s">
        <v>54</v>
      </c>
    </row>
    <row r="17" spans="2:5" s="57" customFormat="1" ht="15" customHeight="1">
      <c r="C17" s="57" t="s">
        <v>30</v>
      </c>
      <c r="D17" s="57" t="s">
        <v>33</v>
      </c>
    </row>
    <row r="18" spans="2:5" s="57" customFormat="1" ht="15" customHeight="1">
      <c r="C18" s="57" t="s">
        <v>30</v>
      </c>
      <c r="D18" s="57" t="s">
        <v>34</v>
      </c>
    </row>
    <row r="19" spans="2:5" s="57" customFormat="1" ht="15" customHeight="1">
      <c r="E19" s="57" t="s">
        <v>35</v>
      </c>
    </row>
    <row r="20" spans="2:5" s="57" customFormat="1" ht="15" customHeight="1">
      <c r="C20" s="57" t="s">
        <v>30</v>
      </c>
      <c r="D20" s="57" t="s">
        <v>43</v>
      </c>
    </row>
    <row r="21" spans="2:5" s="57" customFormat="1" ht="15" customHeight="1">
      <c r="C21" s="70" t="s">
        <v>48</v>
      </c>
    </row>
    <row r="22" spans="2:5" s="57" customFormat="1" ht="15" customHeight="1"/>
    <row r="23" spans="2:5" s="57" customFormat="1" ht="15" customHeight="1">
      <c r="B23" s="67">
        <v>3</v>
      </c>
      <c r="C23" s="67" t="s">
        <v>26</v>
      </c>
    </row>
    <row r="24" spans="2:5" s="57" customFormat="1" ht="9" customHeight="1"/>
    <row r="25" spans="2:5" s="57" customFormat="1" ht="15" customHeight="1">
      <c r="C25" s="57" t="s">
        <v>30</v>
      </c>
      <c r="D25" s="57" t="s">
        <v>39</v>
      </c>
    </row>
    <row r="26" spans="2:5" s="57" customFormat="1" ht="15" customHeight="1">
      <c r="C26" s="57" t="s">
        <v>30</v>
      </c>
      <c r="D26" s="57" t="s">
        <v>53</v>
      </c>
    </row>
    <row r="27" spans="2:5" s="57" customFormat="1" ht="15" customHeight="1">
      <c r="C27" s="57" t="s">
        <v>30</v>
      </c>
      <c r="D27" s="57" t="s">
        <v>40</v>
      </c>
    </row>
    <row r="28" spans="2:5" s="57" customFormat="1" ht="15" customHeight="1">
      <c r="E28" s="57" t="s">
        <v>41</v>
      </c>
    </row>
    <row r="29" spans="2:5" s="57" customFormat="1" ht="15" customHeight="1"/>
    <row r="30" spans="2:5" s="57" customFormat="1" ht="15" customHeight="1">
      <c r="B30" s="67">
        <v>4</v>
      </c>
      <c r="C30" s="67" t="s">
        <v>25</v>
      </c>
    </row>
    <row r="31" spans="2:5" s="57" customFormat="1" ht="8.25" customHeight="1"/>
    <row r="32" spans="2:5" s="57" customFormat="1" ht="15" customHeight="1">
      <c r="C32" s="57" t="s">
        <v>30</v>
      </c>
      <c r="D32" s="57" t="s">
        <v>46</v>
      </c>
    </row>
    <row r="33" spans="3:12" s="57" customFormat="1" ht="15" customHeight="1">
      <c r="E33" s="57" t="s">
        <v>42</v>
      </c>
    </row>
    <row r="34" spans="3:12" s="57" customFormat="1" ht="15" customHeight="1">
      <c r="C34" s="57" t="s">
        <v>63</v>
      </c>
      <c r="D34" s="57" t="s">
        <v>65</v>
      </c>
    </row>
    <row r="35" spans="3:12" s="57" customFormat="1" ht="15" customHeight="1">
      <c r="D35" s="57" t="s">
        <v>64</v>
      </c>
    </row>
    <row r="36" spans="3:12" s="57" customFormat="1" ht="15" customHeight="1">
      <c r="C36" s="57" t="s">
        <v>63</v>
      </c>
      <c r="D36" s="57" t="s">
        <v>66</v>
      </c>
    </row>
    <row r="37" spans="3:12" s="57" customFormat="1" ht="15" customHeight="1"/>
    <row r="38" spans="3:12" s="57" customFormat="1" ht="15" customHeight="1">
      <c r="C38" s="70" t="s">
        <v>47</v>
      </c>
    </row>
    <row r="39" spans="3:12" s="57" customFormat="1" ht="15" customHeight="1">
      <c r="F39" s="64"/>
    </row>
    <row r="40" spans="3:12" s="57" customFormat="1" ht="15" customHeight="1">
      <c r="E40" s="58" t="s">
        <v>52</v>
      </c>
      <c r="F40" s="71">
        <v>42186</v>
      </c>
      <c r="H40" s="133"/>
      <c r="I40" s="133"/>
      <c r="J40" s="133"/>
      <c r="K40" s="133"/>
      <c r="L40" s="133"/>
    </row>
    <row r="41" spans="3:12" s="57" customFormat="1">
      <c r="C41" s="65"/>
      <c r="D41" s="65"/>
    </row>
    <row r="42" spans="3:12" s="57" customFormat="1">
      <c r="E42" s="58" t="s">
        <v>56</v>
      </c>
      <c r="F42" s="65"/>
      <c r="G42" s="65"/>
      <c r="H42" s="65"/>
    </row>
    <row r="43" spans="3:12">
      <c r="C43" s="53"/>
      <c r="D43" s="53"/>
      <c r="E43" s="79" t="s">
        <v>55</v>
      </c>
      <c r="F43" s="80">
        <v>42334</v>
      </c>
      <c r="G43" s="53"/>
      <c r="H43" s="53"/>
    </row>
    <row r="44" spans="3:12">
      <c r="C44" s="53"/>
      <c r="D44" s="53"/>
      <c r="E44" s="53"/>
      <c r="F44" s="53"/>
      <c r="G44" s="53"/>
      <c r="H44" s="53"/>
    </row>
    <row r="45" spans="3:12">
      <c r="E45" s="81" t="s">
        <v>59</v>
      </c>
    </row>
    <row r="46" spans="3:12">
      <c r="E46" s="81" t="s">
        <v>60</v>
      </c>
      <c r="F46" s="82">
        <v>42698</v>
      </c>
    </row>
    <row r="47" spans="3:12">
      <c r="E47" s="81" t="s">
        <v>62</v>
      </c>
      <c r="F47" s="82">
        <v>42726</v>
      </c>
    </row>
    <row r="48" spans="3:12">
      <c r="E48" s="81"/>
      <c r="F48" s="82"/>
    </row>
    <row r="49" spans="5:6">
      <c r="E49" s="81" t="s">
        <v>67</v>
      </c>
    </row>
    <row r="50" spans="5:6">
      <c r="E50" s="81" t="s">
        <v>68</v>
      </c>
      <c r="F50" s="82">
        <v>44014</v>
      </c>
    </row>
  </sheetData>
  <sheetProtection sheet="1" objects="1" scenarios="1"/>
  <mergeCells count="1">
    <mergeCell ref="H40:L40"/>
  </mergeCells>
  <phoneticPr fontId="5"/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51"/>
  <sheetViews>
    <sheetView workbookViewId="0">
      <selection activeCell="B2" sqref="B2:C36"/>
    </sheetView>
  </sheetViews>
  <sheetFormatPr defaultRowHeight="13.5"/>
  <cols>
    <col min="1" max="1" width="3.375" customWidth="1"/>
    <col min="4" max="4" width="4.125" customWidth="1"/>
  </cols>
  <sheetData>
    <row r="1" spans="1:8">
      <c r="A1" s="11" t="s">
        <v>0</v>
      </c>
      <c r="B1" s="11" t="s">
        <v>1</v>
      </c>
      <c r="C1" s="11" t="s">
        <v>2</v>
      </c>
      <c r="D1" s="50"/>
      <c r="E1" s="51" t="s">
        <v>24</v>
      </c>
      <c r="H1" s="52"/>
    </row>
    <row r="2" spans="1:8">
      <c r="A2" s="53">
        <v>1</v>
      </c>
      <c r="B2" s="83"/>
      <c r="C2" s="10"/>
    </row>
    <row r="3" spans="1:8">
      <c r="A3" s="53">
        <v>2</v>
      </c>
      <c r="B3" s="83"/>
      <c r="C3" s="10"/>
    </row>
    <row r="4" spans="1:8">
      <c r="A4" s="53">
        <v>3</v>
      </c>
      <c r="B4" s="83"/>
      <c r="C4" s="10"/>
    </row>
    <row r="5" spans="1:8">
      <c r="A5" s="53">
        <v>4</v>
      </c>
      <c r="B5" s="83"/>
      <c r="C5" s="10"/>
    </row>
    <row r="6" spans="1:8">
      <c r="A6" s="53">
        <v>5</v>
      </c>
      <c r="B6" s="83"/>
      <c r="C6" s="10"/>
    </row>
    <row r="7" spans="1:8">
      <c r="A7" s="53">
        <v>6</v>
      </c>
      <c r="B7" s="83"/>
      <c r="C7" s="10"/>
    </row>
    <row r="8" spans="1:8">
      <c r="A8" s="53">
        <v>7</v>
      </c>
      <c r="B8" s="83"/>
      <c r="C8" s="10"/>
    </row>
    <row r="9" spans="1:8">
      <c r="A9" s="53">
        <v>8</v>
      </c>
      <c r="B9" s="83"/>
      <c r="C9" s="10"/>
    </row>
    <row r="10" spans="1:8">
      <c r="A10" s="53">
        <v>9</v>
      </c>
      <c r="B10" s="83"/>
      <c r="C10" s="10"/>
    </row>
    <row r="11" spans="1:8">
      <c r="A11" s="53">
        <v>10</v>
      </c>
      <c r="B11" s="83"/>
      <c r="C11" s="10"/>
    </row>
    <row r="12" spans="1:8">
      <c r="A12" s="53">
        <v>11</v>
      </c>
      <c r="B12" s="83"/>
      <c r="C12" s="10"/>
    </row>
    <row r="13" spans="1:8">
      <c r="A13" s="53">
        <v>12</v>
      </c>
      <c r="B13" s="83"/>
      <c r="C13" s="10"/>
    </row>
    <row r="14" spans="1:8">
      <c r="A14" s="53">
        <v>13</v>
      </c>
      <c r="B14" s="83"/>
      <c r="C14" s="10"/>
    </row>
    <row r="15" spans="1:8">
      <c r="A15" s="53">
        <v>14</v>
      </c>
      <c r="B15" s="83"/>
      <c r="C15" s="10"/>
    </row>
    <row r="16" spans="1:8">
      <c r="A16" s="53">
        <v>15</v>
      </c>
      <c r="B16" s="83"/>
      <c r="C16" s="10"/>
    </row>
    <row r="17" spans="1:3">
      <c r="A17" s="53">
        <v>16</v>
      </c>
      <c r="B17" s="83"/>
      <c r="C17" s="10"/>
    </row>
    <row r="18" spans="1:3">
      <c r="A18" s="53">
        <v>17</v>
      </c>
      <c r="B18" s="83"/>
      <c r="C18" s="10"/>
    </row>
    <row r="19" spans="1:3">
      <c r="A19" s="53">
        <v>18</v>
      </c>
      <c r="B19" s="83"/>
      <c r="C19" s="10"/>
    </row>
    <row r="20" spans="1:3">
      <c r="A20" s="53">
        <v>19</v>
      </c>
      <c r="B20" s="83"/>
      <c r="C20" s="10"/>
    </row>
    <row r="21" spans="1:3">
      <c r="A21" s="53">
        <v>20</v>
      </c>
      <c r="B21" s="83"/>
      <c r="C21" s="10"/>
    </row>
    <row r="22" spans="1:3">
      <c r="A22" s="53">
        <v>21</v>
      </c>
      <c r="B22" s="83"/>
      <c r="C22" s="10"/>
    </row>
    <row r="23" spans="1:3">
      <c r="A23" s="53">
        <v>22</v>
      </c>
      <c r="B23" s="83"/>
      <c r="C23" s="10"/>
    </row>
    <row r="24" spans="1:3">
      <c r="A24" s="53">
        <v>23</v>
      </c>
      <c r="B24" s="83"/>
      <c r="C24" s="10"/>
    </row>
    <row r="25" spans="1:3">
      <c r="A25" s="53">
        <v>24</v>
      </c>
      <c r="B25" s="83"/>
      <c r="C25" s="10"/>
    </row>
    <row r="26" spans="1:3">
      <c r="A26" s="53">
        <v>25</v>
      </c>
      <c r="B26" s="83"/>
      <c r="C26" s="10"/>
    </row>
    <row r="27" spans="1:3">
      <c r="A27" s="53">
        <v>26</v>
      </c>
      <c r="B27" s="83"/>
      <c r="C27" s="10"/>
    </row>
    <row r="28" spans="1:3">
      <c r="A28" s="53">
        <v>27</v>
      </c>
      <c r="B28" s="83"/>
      <c r="C28" s="10"/>
    </row>
    <row r="29" spans="1:3">
      <c r="A29" s="53">
        <v>28</v>
      </c>
      <c r="B29" s="83"/>
      <c r="C29" s="10"/>
    </row>
    <row r="30" spans="1:3">
      <c r="A30" s="53">
        <v>29</v>
      </c>
      <c r="B30" s="83"/>
      <c r="C30" s="10"/>
    </row>
    <row r="31" spans="1:3">
      <c r="A31" s="53">
        <v>30</v>
      </c>
      <c r="B31" s="83"/>
      <c r="C31" s="10"/>
    </row>
    <row r="32" spans="1:3">
      <c r="A32" s="53">
        <v>31</v>
      </c>
      <c r="B32" s="83"/>
      <c r="C32" s="10"/>
    </row>
    <row r="33" spans="1:3">
      <c r="A33" s="53">
        <v>32</v>
      </c>
      <c r="B33" s="83"/>
      <c r="C33" s="10"/>
    </row>
    <row r="34" spans="1:3">
      <c r="A34" s="53">
        <v>33</v>
      </c>
      <c r="B34" s="83"/>
      <c r="C34" s="10"/>
    </row>
    <row r="35" spans="1:3">
      <c r="A35" s="53">
        <v>34</v>
      </c>
      <c r="B35" s="83"/>
      <c r="C35" s="10"/>
    </row>
    <row r="36" spans="1:3">
      <c r="A36" s="53">
        <v>35</v>
      </c>
      <c r="B36" s="83"/>
      <c r="C36" s="10"/>
    </row>
    <row r="37" spans="1:3">
      <c r="A37" s="53"/>
      <c r="B37" s="10"/>
      <c r="C37" s="10"/>
    </row>
    <row r="38" spans="1:3">
      <c r="A38" s="53"/>
      <c r="B38" s="10"/>
      <c r="C38" s="10"/>
    </row>
    <row r="39" spans="1:3">
      <c r="A39" s="53"/>
      <c r="B39" s="10"/>
      <c r="C39" s="10"/>
    </row>
    <row r="40" spans="1:3">
      <c r="A40" s="53"/>
      <c r="B40" s="10"/>
      <c r="C40" s="10"/>
    </row>
    <row r="41" spans="1:3">
      <c r="A41" s="53"/>
      <c r="B41" s="10"/>
      <c r="C41" s="10"/>
    </row>
    <row r="42" spans="1:3">
      <c r="A42" s="53"/>
      <c r="B42" s="10"/>
      <c r="C42" s="10"/>
    </row>
    <row r="43" spans="1:3">
      <c r="A43" s="53"/>
      <c r="B43" s="10"/>
      <c r="C43" s="10"/>
    </row>
    <row r="44" spans="1:3">
      <c r="A44" s="53"/>
      <c r="B44" s="10"/>
      <c r="C44" s="10"/>
    </row>
    <row r="45" spans="1:3">
      <c r="A45" s="53"/>
      <c r="B45" s="10"/>
      <c r="C45" s="10"/>
    </row>
    <row r="46" spans="1:3">
      <c r="A46" s="53"/>
      <c r="B46" s="10"/>
      <c r="C46" s="10"/>
    </row>
    <row r="47" spans="1:3">
      <c r="A47" s="53"/>
      <c r="B47" s="10"/>
      <c r="C47" s="10"/>
    </row>
    <row r="48" spans="1:3">
      <c r="A48" s="53"/>
      <c r="B48" s="10"/>
      <c r="C48" s="10"/>
    </row>
    <row r="49" spans="1:3">
      <c r="A49" s="53"/>
      <c r="B49" s="10"/>
      <c r="C49" s="10"/>
    </row>
    <row r="50" spans="1:3">
      <c r="A50" s="53"/>
      <c r="B50" s="10"/>
      <c r="C50" s="10"/>
    </row>
    <row r="51" spans="1:3">
      <c r="A51" s="53"/>
      <c r="B51" s="10"/>
      <c r="C51" s="10"/>
    </row>
  </sheetData>
  <sortState ref="C2:C44">
    <sortCondition ref="C2"/>
  </sortState>
  <phoneticPr fontId="5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  <pageSetUpPr fitToPage="1"/>
  </sheetPr>
  <dimension ref="A1:BQ57"/>
  <sheetViews>
    <sheetView tabSelected="1" zoomScale="90" zoomScaleNormal="90" zoomScaleSheetLayoutView="90" workbookViewId="0">
      <pane xSplit="3" ySplit="2" topLeftCell="AA3" activePane="bottomRight" state="frozen"/>
      <selection pane="topRight" activeCell="D1" sqref="D1"/>
      <selection pane="bottomLeft" activeCell="A3" sqref="A3"/>
      <selection pane="bottomRight" activeCell="AL2" sqref="AL2"/>
    </sheetView>
  </sheetViews>
  <sheetFormatPr defaultRowHeight="13.5"/>
  <cols>
    <col min="1" max="1" width="3.875" bestFit="1" customWidth="1"/>
    <col min="2" max="3" width="6.25" customWidth="1"/>
    <col min="4" max="63" width="3.875" customWidth="1"/>
    <col min="64" max="65" width="2.125" customWidth="1"/>
  </cols>
  <sheetData>
    <row r="1" spans="1:69" ht="27" customHeight="1">
      <c r="A1" s="30"/>
      <c r="B1" s="31"/>
      <c r="C1" s="31"/>
      <c r="D1" s="134"/>
      <c r="E1" s="135"/>
      <c r="F1" s="135"/>
      <c r="G1" s="135"/>
      <c r="H1" s="135"/>
      <c r="I1" s="135"/>
      <c r="J1" s="135"/>
      <c r="K1" s="135"/>
      <c r="L1" s="135"/>
      <c r="M1" s="135"/>
      <c r="N1" s="136"/>
      <c r="O1" s="137"/>
      <c r="P1" s="135"/>
      <c r="Q1" s="135"/>
      <c r="R1" s="135"/>
      <c r="S1" s="135"/>
      <c r="T1" s="135"/>
      <c r="U1" s="135"/>
      <c r="V1" s="135"/>
      <c r="W1" s="135"/>
      <c r="X1" s="135"/>
      <c r="Y1" s="136"/>
      <c r="Z1" s="137"/>
      <c r="AA1" s="135"/>
      <c r="AB1" s="135"/>
      <c r="AC1" s="135"/>
      <c r="AD1" s="135"/>
      <c r="AE1" s="135"/>
      <c r="AF1" s="135"/>
      <c r="AG1" s="135"/>
      <c r="AH1" s="135"/>
      <c r="AI1" s="135"/>
      <c r="AJ1" s="136"/>
      <c r="AK1" s="137"/>
      <c r="AL1" s="135"/>
      <c r="AM1" s="135"/>
      <c r="AN1" s="135"/>
      <c r="AO1" s="135"/>
      <c r="AP1" s="135"/>
      <c r="AQ1" s="135"/>
      <c r="AR1" s="135"/>
      <c r="AS1" s="135"/>
      <c r="AT1" s="135"/>
      <c r="AU1" s="136"/>
      <c r="AV1" s="137"/>
      <c r="AW1" s="135"/>
      <c r="AX1" s="135"/>
      <c r="AY1" s="135"/>
      <c r="AZ1" s="135"/>
      <c r="BA1" s="135"/>
      <c r="BB1" s="135"/>
      <c r="BC1" s="135"/>
      <c r="BD1" s="135"/>
      <c r="BE1" s="135"/>
      <c r="BF1" s="136"/>
      <c r="BG1" s="101"/>
      <c r="BH1" s="84"/>
      <c r="BI1" s="84"/>
      <c r="BJ1" s="84"/>
      <c r="BK1" s="85"/>
      <c r="BL1" s="68" t="s">
        <v>28</v>
      </c>
      <c r="BM1" s="54" t="s">
        <v>29</v>
      </c>
      <c r="BN1" s="29" t="s">
        <v>18</v>
      </c>
      <c r="BO1" s="29" t="s">
        <v>19</v>
      </c>
      <c r="BP1" s="29" t="s">
        <v>20</v>
      </c>
      <c r="BQ1" s="29" t="s">
        <v>23</v>
      </c>
    </row>
    <row r="2" spans="1:69">
      <c r="A2" s="32" t="s">
        <v>0</v>
      </c>
      <c r="B2" s="33" t="s">
        <v>1</v>
      </c>
      <c r="C2" s="34" t="s">
        <v>2</v>
      </c>
      <c r="D2" s="107">
        <v>0.5625</v>
      </c>
      <c r="E2" s="125">
        <v>0.57291666666666663</v>
      </c>
      <c r="F2" s="125">
        <v>0.58333333333333337</v>
      </c>
      <c r="G2" s="117">
        <v>0.59375</v>
      </c>
      <c r="H2" s="86">
        <v>0.60416666666666663</v>
      </c>
      <c r="I2" s="86">
        <v>0.61458333333333337</v>
      </c>
      <c r="J2" s="86">
        <v>0.625</v>
      </c>
      <c r="K2" s="117">
        <v>0.63541666666666663</v>
      </c>
      <c r="L2" s="86">
        <v>0.64583333333333337</v>
      </c>
      <c r="M2" s="86">
        <v>0.65625</v>
      </c>
      <c r="N2" s="96">
        <v>0.66666666666666663</v>
      </c>
      <c r="O2" s="112">
        <v>0.5625</v>
      </c>
      <c r="P2" s="125">
        <v>0.57291666666666663</v>
      </c>
      <c r="Q2" s="125">
        <v>0.58333333333333337</v>
      </c>
      <c r="R2" s="117">
        <v>0.59375</v>
      </c>
      <c r="S2" s="86">
        <v>0.60416666666666663</v>
      </c>
      <c r="T2" s="86">
        <v>0.61458333333333337</v>
      </c>
      <c r="U2" s="86">
        <v>0.625</v>
      </c>
      <c r="V2" s="117">
        <v>0.63541666666666663</v>
      </c>
      <c r="W2" s="86">
        <v>0.64583333333333337</v>
      </c>
      <c r="X2" s="86">
        <v>0.65625</v>
      </c>
      <c r="Y2" s="96">
        <v>0.66666666666666663</v>
      </c>
      <c r="Z2" s="112">
        <v>0.5625</v>
      </c>
      <c r="AA2" s="125">
        <v>0.57291666666666663</v>
      </c>
      <c r="AB2" s="125">
        <v>0.58333333333333337</v>
      </c>
      <c r="AC2" s="117">
        <v>0.59375</v>
      </c>
      <c r="AD2" s="86">
        <v>0.60416666666666663</v>
      </c>
      <c r="AE2" s="86">
        <v>0.61458333333333337</v>
      </c>
      <c r="AF2" s="125">
        <v>0.625</v>
      </c>
      <c r="AG2" s="117">
        <v>0.63541666666666663</v>
      </c>
      <c r="AH2" s="86">
        <v>0.64583333333333337</v>
      </c>
      <c r="AI2" s="125">
        <v>0.65625</v>
      </c>
      <c r="AJ2" s="96">
        <v>0.66666666666666663</v>
      </c>
      <c r="AK2" s="112">
        <v>0.5625</v>
      </c>
      <c r="AL2" s="125">
        <v>0.57291666666666663</v>
      </c>
      <c r="AM2" s="125">
        <v>0.58333333333333337</v>
      </c>
      <c r="AN2" s="117">
        <v>0.59375</v>
      </c>
      <c r="AO2" s="86">
        <v>0.60416666666666663</v>
      </c>
      <c r="AP2" s="86">
        <v>0.61458333333333337</v>
      </c>
      <c r="AQ2" s="86">
        <v>0.625</v>
      </c>
      <c r="AR2" s="117">
        <v>0.63541666666666663</v>
      </c>
      <c r="AS2" s="86">
        <v>0.64583333333333337</v>
      </c>
      <c r="AT2" s="86">
        <v>0.65625</v>
      </c>
      <c r="AU2" s="96">
        <v>0.66666666666666663</v>
      </c>
      <c r="AV2" s="112">
        <v>0.5625</v>
      </c>
      <c r="AW2" s="125">
        <v>0.57291666666666663</v>
      </c>
      <c r="AX2" s="125">
        <v>0.58333333333333337</v>
      </c>
      <c r="AY2" s="117">
        <v>0.59375</v>
      </c>
      <c r="AZ2" s="86">
        <v>0.60416666666666663</v>
      </c>
      <c r="BA2" s="86">
        <v>0.61458333333333337</v>
      </c>
      <c r="BB2" s="86">
        <v>0.625</v>
      </c>
      <c r="BC2" s="117">
        <v>0.63541666666666663</v>
      </c>
      <c r="BD2" s="86">
        <v>0.64583333333333337</v>
      </c>
      <c r="BE2" s="86">
        <v>0.65625</v>
      </c>
      <c r="BF2" s="96">
        <v>0.66666666666666663</v>
      </c>
      <c r="BG2" s="102"/>
      <c r="BH2" s="86"/>
      <c r="BI2" s="86"/>
      <c r="BJ2" s="86"/>
      <c r="BK2" s="87"/>
      <c r="BL2" s="69"/>
      <c r="BM2" s="55"/>
    </row>
    <row r="3" spans="1:69">
      <c r="A3" s="35">
        <f>IF(ISBLANK(名簿!A2),"",名簿!A2)</f>
        <v>1</v>
      </c>
      <c r="B3" s="36">
        <f t="shared" ref="B3:B34" si="0">IF(A3="","",VLOOKUP(A3,氏名,2,0))</f>
        <v>0</v>
      </c>
      <c r="C3" s="37">
        <f t="shared" ref="C3:C34" si="1">IF(A3="","",VLOOKUP(A3,氏名,3,0))</f>
        <v>0</v>
      </c>
      <c r="D3" s="108"/>
      <c r="E3" s="126"/>
      <c r="F3" s="126"/>
      <c r="G3" s="118"/>
      <c r="H3" s="88"/>
      <c r="I3" s="88"/>
      <c r="J3" s="88"/>
      <c r="K3" s="118"/>
      <c r="L3" s="88"/>
      <c r="M3" s="88"/>
      <c r="N3" s="97"/>
      <c r="O3" s="113"/>
      <c r="P3" s="126"/>
      <c r="Q3" s="126"/>
      <c r="R3" s="118"/>
      <c r="S3" s="88"/>
      <c r="T3" s="88"/>
      <c r="U3" s="88"/>
      <c r="V3" s="118"/>
      <c r="W3" s="88"/>
      <c r="X3" s="88"/>
      <c r="Y3" s="97"/>
      <c r="Z3" s="113"/>
      <c r="AA3" s="126"/>
      <c r="AB3" s="126"/>
      <c r="AC3" s="118"/>
      <c r="AD3" s="88"/>
      <c r="AE3" s="88"/>
      <c r="AF3" s="126"/>
      <c r="AG3" s="118"/>
      <c r="AH3" s="88"/>
      <c r="AI3" s="126"/>
      <c r="AJ3" s="97"/>
      <c r="AK3" s="113"/>
      <c r="AL3" s="126"/>
      <c r="AM3" s="126"/>
      <c r="AN3" s="118"/>
      <c r="AO3" s="88"/>
      <c r="AP3" s="88"/>
      <c r="AQ3" s="88"/>
      <c r="AR3" s="118"/>
      <c r="AS3" s="88"/>
      <c r="AT3" s="88"/>
      <c r="AU3" s="97"/>
      <c r="AV3" s="113"/>
      <c r="AW3" s="126"/>
      <c r="AX3" s="126"/>
      <c r="AY3" s="118"/>
      <c r="AZ3" s="88"/>
      <c r="BA3" s="88"/>
      <c r="BB3" s="88"/>
      <c r="BC3" s="118"/>
      <c r="BD3" s="88"/>
      <c r="BE3" s="88"/>
      <c r="BF3" s="97"/>
      <c r="BG3" s="103"/>
      <c r="BH3" s="88"/>
      <c r="BI3" s="88"/>
      <c r="BJ3" s="88"/>
      <c r="BK3" s="89"/>
      <c r="BL3" s="69"/>
      <c r="BM3" s="56">
        <v>1</v>
      </c>
      <c r="BN3">
        <f t="shared" ref="BN3:BN34" si="2">COUNTIF($D3:$BK3,"○")</f>
        <v>0</v>
      </c>
      <c r="BO3">
        <f t="shared" ref="BO3:BO34" si="3">COUNTIF($D3:$BK3,"◎")</f>
        <v>0</v>
      </c>
      <c r="BP3">
        <f t="shared" ref="BP3:BP34" si="4">COUNTIF($D3:$BK3,"△")</f>
        <v>0</v>
      </c>
      <c r="BQ3">
        <f>SUM(BN3:BP3)</f>
        <v>0</v>
      </c>
    </row>
    <row r="4" spans="1:69">
      <c r="A4" s="38">
        <f>IF(ISBLANK(名簿!A3),"",名簿!A3)</f>
        <v>2</v>
      </c>
      <c r="B4" s="39">
        <f t="shared" si="0"/>
        <v>0</v>
      </c>
      <c r="C4" s="40">
        <f t="shared" si="1"/>
        <v>0</v>
      </c>
      <c r="D4" s="109"/>
      <c r="E4" s="127"/>
      <c r="F4" s="127"/>
      <c r="G4" s="119"/>
      <c r="H4" s="90"/>
      <c r="I4" s="90"/>
      <c r="J4" s="90"/>
      <c r="K4" s="119"/>
      <c r="L4" s="90"/>
      <c r="M4" s="90"/>
      <c r="N4" s="98"/>
      <c r="O4" s="114"/>
      <c r="P4" s="127"/>
      <c r="Q4" s="127"/>
      <c r="R4" s="119"/>
      <c r="S4" s="90"/>
      <c r="T4" s="90"/>
      <c r="U4" s="90"/>
      <c r="V4" s="119"/>
      <c r="W4" s="90"/>
      <c r="X4" s="90"/>
      <c r="Y4" s="98"/>
      <c r="Z4" s="114"/>
      <c r="AA4" s="127"/>
      <c r="AB4" s="127"/>
      <c r="AC4" s="119"/>
      <c r="AD4" s="90"/>
      <c r="AE4" s="90"/>
      <c r="AF4" s="127"/>
      <c r="AG4" s="119"/>
      <c r="AH4" s="90"/>
      <c r="AI4" s="127"/>
      <c r="AJ4" s="98"/>
      <c r="AK4" s="114"/>
      <c r="AL4" s="127"/>
      <c r="AM4" s="127"/>
      <c r="AN4" s="119"/>
      <c r="AO4" s="90"/>
      <c r="AP4" s="90"/>
      <c r="AQ4" s="90"/>
      <c r="AR4" s="119"/>
      <c r="AS4" s="90"/>
      <c r="AT4" s="90"/>
      <c r="AU4" s="98"/>
      <c r="AV4" s="114"/>
      <c r="AW4" s="127"/>
      <c r="AX4" s="127"/>
      <c r="AY4" s="119"/>
      <c r="AZ4" s="90"/>
      <c r="BA4" s="90"/>
      <c r="BB4" s="90"/>
      <c r="BC4" s="119"/>
      <c r="BD4" s="90"/>
      <c r="BE4" s="90"/>
      <c r="BF4" s="98"/>
      <c r="BG4" s="104"/>
      <c r="BH4" s="90"/>
      <c r="BI4" s="90"/>
      <c r="BJ4" s="90"/>
      <c r="BK4" s="91"/>
      <c r="BL4" s="69"/>
      <c r="BM4" s="56">
        <v>1</v>
      </c>
      <c r="BN4">
        <f t="shared" si="2"/>
        <v>0</v>
      </c>
      <c r="BO4">
        <f t="shared" si="3"/>
        <v>0</v>
      </c>
      <c r="BP4">
        <f t="shared" si="4"/>
        <v>0</v>
      </c>
      <c r="BQ4">
        <f t="shared" ref="BQ4:BQ52" si="5">SUM(BN4:BP4)</f>
        <v>0</v>
      </c>
    </row>
    <row r="5" spans="1:69">
      <c r="A5" s="38">
        <f>IF(ISBLANK(名簿!A4),"",名簿!A4)</f>
        <v>3</v>
      </c>
      <c r="B5" s="39">
        <f t="shared" si="0"/>
        <v>0</v>
      </c>
      <c r="C5" s="40">
        <f t="shared" si="1"/>
        <v>0</v>
      </c>
      <c r="D5" s="109"/>
      <c r="E5" s="127"/>
      <c r="F5" s="127"/>
      <c r="G5" s="119"/>
      <c r="H5" s="90"/>
      <c r="I5" s="90"/>
      <c r="J5" s="90"/>
      <c r="K5" s="119"/>
      <c r="L5" s="90"/>
      <c r="M5" s="90"/>
      <c r="N5" s="98"/>
      <c r="O5" s="114"/>
      <c r="P5" s="127"/>
      <c r="Q5" s="127"/>
      <c r="R5" s="119"/>
      <c r="S5" s="90"/>
      <c r="T5" s="90"/>
      <c r="U5" s="90"/>
      <c r="V5" s="119"/>
      <c r="W5" s="90"/>
      <c r="X5" s="90"/>
      <c r="Y5" s="98"/>
      <c r="Z5" s="114"/>
      <c r="AA5" s="127"/>
      <c r="AB5" s="127"/>
      <c r="AC5" s="119"/>
      <c r="AD5" s="90"/>
      <c r="AE5" s="90"/>
      <c r="AF5" s="127"/>
      <c r="AG5" s="119"/>
      <c r="AH5" s="90"/>
      <c r="AI5" s="127"/>
      <c r="AJ5" s="98"/>
      <c r="AK5" s="114"/>
      <c r="AL5" s="127"/>
      <c r="AM5" s="127"/>
      <c r="AN5" s="119"/>
      <c r="AO5" s="90"/>
      <c r="AP5" s="90"/>
      <c r="AQ5" s="90"/>
      <c r="AR5" s="119"/>
      <c r="AS5" s="90"/>
      <c r="AT5" s="90"/>
      <c r="AU5" s="98"/>
      <c r="AV5" s="114"/>
      <c r="AW5" s="127"/>
      <c r="AX5" s="127"/>
      <c r="AY5" s="119"/>
      <c r="AZ5" s="90"/>
      <c r="BA5" s="90"/>
      <c r="BB5" s="90"/>
      <c r="BC5" s="119"/>
      <c r="BD5" s="90"/>
      <c r="BE5" s="90"/>
      <c r="BF5" s="98"/>
      <c r="BG5" s="104"/>
      <c r="BH5" s="90"/>
      <c r="BI5" s="90"/>
      <c r="BJ5" s="90"/>
      <c r="BK5" s="91"/>
      <c r="BL5" s="69"/>
      <c r="BM5" s="56">
        <v>1</v>
      </c>
      <c r="BN5">
        <f t="shared" si="2"/>
        <v>0</v>
      </c>
      <c r="BO5">
        <f t="shared" si="3"/>
        <v>0</v>
      </c>
      <c r="BP5">
        <f t="shared" si="4"/>
        <v>0</v>
      </c>
      <c r="BQ5">
        <f t="shared" si="5"/>
        <v>0</v>
      </c>
    </row>
    <row r="6" spans="1:69">
      <c r="A6" s="38">
        <f>IF(ISBLANK(名簿!A5),"",名簿!A5)</f>
        <v>4</v>
      </c>
      <c r="B6" s="39">
        <f t="shared" si="0"/>
        <v>0</v>
      </c>
      <c r="C6" s="40">
        <f t="shared" si="1"/>
        <v>0</v>
      </c>
      <c r="D6" s="109"/>
      <c r="E6" s="127"/>
      <c r="F6" s="127"/>
      <c r="G6" s="119"/>
      <c r="H6" s="90"/>
      <c r="I6" s="90"/>
      <c r="J6" s="90"/>
      <c r="K6" s="119"/>
      <c r="L6" s="90"/>
      <c r="M6" s="90"/>
      <c r="N6" s="98"/>
      <c r="O6" s="114"/>
      <c r="P6" s="127"/>
      <c r="Q6" s="127"/>
      <c r="R6" s="119"/>
      <c r="S6" s="90"/>
      <c r="T6" s="90"/>
      <c r="U6" s="90"/>
      <c r="V6" s="119"/>
      <c r="W6" s="90"/>
      <c r="X6" s="90"/>
      <c r="Y6" s="98"/>
      <c r="Z6" s="114"/>
      <c r="AA6" s="127"/>
      <c r="AB6" s="127"/>
      <c r="AC6" s="119"/>
      <c r="AD6" s="90"/>
      <c r="AE6" s="90"/>
      <c r="AF6" s="127"/>
      <c r="AG6" s="119"/>
      <c r="AH6" s="90"/>
      <c r="AI6" s="127"/>
      <c r="AJ6" s="98"/>
      <c r="AK6" s="114"/>
      <c r="AL6" s="127"/>
      <c r="AM6" s="127"/>
      <c r="AN6" s="119"/>
      <c r="AO6" s="90"/>
      <c r="AP6" s="90"/>
      <c r="AQ6" s="90"/>
      <c r="AR6" s="119"/>
      <c r="AS6" s="90"/>
      <c r="AT6" s="90"/>
      <c r="AU6" s="98"/>
      <c r="AV6" s="114"/>
      <c r="AW6" s="127"/>
      <c r="AX6" s="127"/>
      <c r="AY6" s="119"/>
      <c r="AZ6" s="90"/>
      <c r="BA6" s="90"/>
      <c r="BB6" s="90"/>
      <c r="BC6" s="119"/>
      <c r="BD6" s="90"/>
      <c r="BE6" s="90"/>
      <c r="BF6" s="98"/>
      <c r="BG6" s="104"/>
      <c r="BH6" s="90"/>
      <c r="BI6" s="90"/>
      <c r="BJ6" s="90"/>
      <c r="BK6" s="91"/>
      <c r="BL6" s="69"/>
      <c r="BM6" s="56">
        <v>1</v>
      </c>
      <c r="BN6">
        <f t="shared" si="2"/>
        <v>0</v>
      </c>
      <c r="BO6">
        <f t="shared" si="3"/>
        <v>0</v>
      </c>
      <c r="BP6">
        <f t="shared" si="4"/>
        <v>0</v>
      </c>
      <c r="BQ6">
        <f t="shared" si="5"/>
        <v>0</v>
      </c>
    </row>
    <row r="7" spans="1:69">
      <c r="A7" s="41">
        <f>IF(ISBLANK(名簿!A6),"",名簿!A6)</f>
        <v>5</v>
      </c>
      <c r="B7" s="42">
        <f t="shared" si="0"/>
        <v>0</v>
      </c>
      <c r="C7" s="43">
        <f t="shared" si="1"/>
        <v>0</v>
      </c>
      <c r="D7" s="110"/>
      <c r="E7" s="128"/>
      <c r="F7" s="128"/>
      <c r="G7" s="120"/>
      <c r="H7" s="92"/>
      <c r="I7" s="92"/>
      <c r="J7" s="92"/>
      <c r="K7" s="120"/>
      <c r="L7" s="92"/>
      <c r="M7" s="92"/>
      <c r="N7" s="99"/>
      <c r="O7" s="115"/>
      <c r="P7" s="128"/>
      <c r="Q7" s="128"/>
      <c r="R7" s="120"/>
      <c r="S7" s="92"/>
      <c r="T7" s="92"/>
      <c r="U7" s="92"/>
      <c r="V7" s="120"/>
      <c r="W7" s="92"/>
      <c r="X7" s="92"/>
      <c r="Y7" s="99"/>
      <c r="Z7" s="115"/>
      <c r="AA7" s="128"/>
      <c r="AB7" s="128"/>
      <c r="AC7" s="120"/>
      <c r="AD7" s="92"/>
      <c r="AE7" s="92"/>
      <c r="AF7" s="128"/>
      <c r="AG7" s="120"/>
      <c r="AH7" s="92"/>
      <c r="AI7" s="128"/>
      <c r="AJ7" s="99"/>
      <c r="AK7" s="115"/>
      <c r="AL7" s="128"/>
      <c r="AM7" s="128"/>
      <c r="AN7" s="120"/>
      <c r="AO7" s="92"/>
      <c r="AP7" s="92"/>
      <c r="AQ7" s="92"/>
      <c r="AR7" s="120"/>
      <c r="AS7" s="92"/>
      <c r="AT7" s="92"/>
      <c r="AU7" s="99"/>
      <c r="AV7" s="115"/>
      <c r="AW7" s="128"/>
      <c r="AX7" s="128"/>
      <c r="AY7" s="120"/>
      <c r="AZ7" s="92"/>
      <c r="BA7" s="92"/>
      <c r="BB7" s="92"/>
      <c r="BC7" s="120"/>
      <c r="BD7" s="92"/>
      <c r="BE7" s="92"/>
      <c r="BF7" s="99"/>
      <c r="BG7" s="105"/>
      <c r="BH7" s="92"/>
      <c r="BI7" s="92"/>
      <c r="BJ7" s="92"/>
      <c r="BK7" s="93"/>
      <c r="BL7" s="69"/>
      <c r="BM7" s="56">
        <v>1</v>
      </c>
      <c r="BN7">
        <f t="shared" si="2"/>
        <v>0</v>
      </c>
      <c r="BO7">
        <f t="shared" si="3"/>
        <v>0</v>
      </c>
      <c r="BP7">
        <f t="shared" si="4"/>
        <v>0</v>
      </c>
      <c r="BQ7">
        <f t="shared" si="5"/>
        <v>0</v>
      </c>
    </row>
    <row r="8" spans="1:69">
      <c r="A8" s="44">
        <f>IF(ISBLANK(名簿!A7),"",名簿!A7)</f>
        <v>6</v>
      </c>
      <c r="B8" s="45">
        <f t="shared" si="0"/>
        <v>0</v>
      </c>
      <c r="C8" s="46">
        <f t="shared" si="1"/>
        <v>0</v>
      </c>
      <c r="D8" s="111"/>
      <c r="E8" s="129"/>
      <c r="F8" s="129"/>
      <c r="G8" s="121"/>
      <c r="H8" s="94"/>
      <c r="I8" s="94"/>
      <c r="J8" s="94"/>
      <c r="K8" s="121"/>
      <c r="L8" s="94"/>
      <c r="M8" s="94"/>
      <c r="N8" s="100"/>
      <c r="O8" s="116"/>
      <c r="P8" s="129"/>
      <c r="Q8" s="129"/>
      <c r="R8" s="121"/>
      <c r="S8" s="94"/>
      <c r="T8" s="94"/>
      <c r="U8" s="94"/>
      <c r="V8" s="121"/>
      <c r="W8" s="94"/>
      <c r="X8" s="94"/>
      <c r="Y8" s="100"/>
      <c r="Z8" s="116"/>
      <c r="AA8" s="129"/>
      <c r="AB8" s="129"/>
      <c r="AC8" s="121"/>
      <c r="AD8" s="94"/>
      <c r="AE8" s="94"/>
      <c r="AF8" s="129"/>
      <c r="AG8" s="121"/>
      <c r="AH8" s="94"/>
      <c r="AI8" s="129"/>
      <c r="AJ8" s="100"/>
      <c r="AK8" s="116"/>
      <c r="AL8" s="129"/>
      <c r="AM8" s="129"/>
      <c r="AN8" s="121"/>
      <c r="AO8" s="94"/>
      <c r="AP8" s="94"/>
      <c r="AQ8" s="94"/>
      <c r="AR8" s="121"/>
      <c r="AS8" s="94"/>
      <c r="AT8" s="94"/>
      <c r="AU8" s="100"/>
      <c r="AV8" s="116"/>
      <c r="AW8" s="129"/>
      <c r="AX8" s="129"/>
      <c r="AY8" s="121"/>
      <c r="AZ8" s="94"/>
      <c r="BA8" s="94"/>
      <c r="BB8" s="94"/>
      <c r="BC8" s="121"/>
      <c r="BD8" s="94"/>
      <c r="BE8" s="94"/>
      <c r="BF8" s="100"/>
      <c r="BG8" s="106"/>
      <c r="BH8" s="94"/>
      <c r="BI8" s="94"/>
      <c r="BJ8" s="94"/>
      <c r="BK8" s="95"/>
      <c r="BL8" s="69"/>
      <c r="BM8" s="56">
        <v>1</v>
      </c>
      <c r="BN8">
        <f t="shared" si="2"/>
        <v>0</v>
      </c>
      <c r="BO8">
        <f t="shared" si="3"/>
        <v>0</v>
      </c>
      <c r="BP8">
        <f t="shared" si="4"/>
        <v>0</v>
      </c>
      <c r="BQ8">
        <f t="shared" si="5"/>
        <v>0</v>
      </c>
    </row>
    <row r="9" spans="1:69">
      <c r="A9" s="38">
        <f>IF(ISBLANK(名簿!A8),"",名簿!A8)</f>
        <v>7</v>
      </c>
      <c r="B9" s="39">
        <f t="shared" si="0"/>
        <v>0</v>
      </c>
      <c r="C9" s="40">
        <f t="shared" si="1"/>
        <v>0</v>
      </c>
      <c r="D9" s="109"/>
      <c r="E9" s="127"/>
      <c r="F9" s="127"/>
      <c r="G9" s="119"/>
      <c r="H9" s="90"/>
      <c r="I9" s="90"/>
      <c r="J9" s="90"/>
      <c r="K9" s="119"/>
      <c r="L9" s="90"/>
      <c r="M9" s="90"/>
      <c r="N9" s="98"/>
      <c r="O9" s="114"/>
      <c r="P9" s="127"/>
      <c r="Q9" s="127"/>
      <c r="R9" s="119"/>
      <c r="S9" s="90"/>
      <c r="T9" s="90"/>
      <c r="U9" s="90"/>
      <c r="V9" s="119"/>
      <c r="W9" s="90"/>
      <c r="X9" s="90"/>
      <c r="Y9" s="98"/>
      <c r="Z9" s="114"/>
      <c r="AA9" s="127"/>
      <c r="AB9" s="127"/>
      <c r="AC9" s="119"/>
      <c r="AD9" s="90"/>
      <c r="AE9" s="90"/>
      <c r="AF9" s="127"/>
      <c r="AG9" s="119"/>
      <c r="AH9" s="90"/>
      <c r="AI9" s="127"/>
      <c r="AJ9" s="98"/>
      <c r="AK9" s="114"/>
      <c r="AL9" s="127"/>
      <c r="AM9" s="127"/>
      <c r="AN9" s="119"/>
      <c r="AO9" s="90"/>
      <c r="AP9" s="90"/>
      <c r="AQ9" s="90"/>
      <c r="AR9" s="119"/>
      <c r="AS9" s="90"/>
      <c r="AT9" s="90"/>
      <c r="AU9" s="98"/>
      <c r="AV9" s="114"/>
      <c r="AW9" s="127"/>
      <c r="AX9" s="127"/>
      <c r="AY9" s="119"/>
      <c r="AZ9" s="90"/>
      <c r="BA9" s="90"/>
      <c r="BB9" s="90"/>
      <c r="BC9" s="119"/>
      <c r="BD9" s="90"/>
      <c r="BE9" s="90"/>
      <c r="BF9" s="98"/>
      <c r="BG9" s="104"/>
      <c r="BH9" s="90"/>
      <c r="BI9" s="90"/>
      <c r="BJ9" s="90"/>
      <c r="BK9" s="91"/>
      <c r="BL9" s="69"/>
      <c r="BM9" s="56">
        <v>1</v>
      </c>
      <c r="BN9">
        <f t="shared" si="2"/>
        <v>0</v>
      </c>
      <c r="BO9">
        <f t="shared" si="3"/>
        <v>0</v>
      </c>
      <c r="BP9">
        <f t="shared" si="4"/>
        <v>0</v>
      </c>
      <c r="BQ9">
        <f t="shared" si="5"/>
        <v>0</v>
      </c>
    </row>
    <row r="10" spans="1:69">
      <c r="A10" s="38">
        <f>IF(ISBLANK(名簿!A9),"",名簿!A9)</f>
        <v>8</v>
      </c>
      <c r="B10" s="39">
        <f t="shared" si="0"/>
        <v>0</v>
      </c>
      <c r="C10" s="40">
        <f t="shared" si="1"/>
        <v>0</v>
      </c>
      <c r="D10" s="109"/>
      <c r="E10" s="127"/>
      <c r="F10" s="127"/>
      <c r="G10" s="119"/>
      <c r="H10" s="90"/>
      <c r="I10" s="90"/>
      <c r="J10" s="90"/>
      <c r="K10" s="119"/>
      <c r="L10" s="90"/>
      <c r="M10" s="90"/>
      <c r="N10" s="98"/>
      <c r="O10" s="114"/>
      <c r="P10" s="127"/>
      <c r="Q10" s="127"/>
      <c r="R10" s="119"/>
      <c r="S10" s="90"/>
      <c r="T10" s="90"/>
      <c r="U10" s="90"/>
      <c r="V10" s="119"/>
      <c r="W10" s="90"/>
      <c r="X10" s="90"/>
      <c r="Y10" s="98"/>
      <c r="Z10" s="114"/>
      <c r="AA10" s="127"/>
      <c r="AB10" s="127"/>
      <c r="AC10" s="119"/>
      <c r="AD10" s="90"/>
      <c r="AE10" s="90"/>
      <c r="AF10" s="127"/>
      <c r="AG10" s="119"/>
      <c r="AH10" s="90"/>
      <c r="AI10" s="127"/>
      <c r="AJ10" s="98"/>
      <c r="AK10" s="114"/>
      <c r="AL10" s="127"/>
      <c r="AM10" s="127"/>
      <c r="AN10" s="119"/>
      <c r="AO10" s="90"/>
      <c r="AP10" s="90"/>
      <c r="AQ10" s="90"/>
      <c r="AR10" s="119"/>
      <c r="AS10" s="90"/>
      <c r="AT10" s="90"/>
      <c r="AU10" s="98"/>
      <c r="AV10" s="114"/>
      <c r="AW10" s="127"/>
      <c r="AX10" s="127"/>
      <c r="AY10" s="119"/>
      <c r="AZ10" s="90"/>
      <c r="BA10" s="90"/>
      <c r="BB10" s="90"/>
      <c r="BC10" s="119"/>
      <c r="BD10" s="90"/>
      <c r="BE10" s="90"/>
      <c r="BF10" s="98"/>
      <c r="BG10" s="104"/>
      <c r="BH10" s="90"/>
      <c r="BI10" s="90"/>
      <c r="BJ10" s="90"/>
      <c r="BK10" s="91"/>
      <c r="BL10" s="69"/>
      <c r="BM10" s="56">
        <v>1</v>
      </c>
      <c r="BN10">
        <f t="shared" si="2"/>
        <v>0</v>
      </c>
      <c r="BO10">
        <f t="shared" si="3"/>
        <v>0</v>
      </c>
      <c r="BP10">
        <f t="shared" si="4"/>
        <v>0</v>
      </c>
      <c r="BQ10">
        <f t="shared" si="5"/>
        <v>0</v>
      </c>
    </row>
    <row r="11" spans="1:69">
      <c r="A11" s="38">
        <f>IF(ISBLANK(名簿!A10),"",名簿!A10)</f>
        <v>9</v>
      </c>
      <c r="B11" s="39">
        <f t="shared" si="0"/>
        <v>0</v>
      </c>
      <c r="C11" s="40">
        <f t="shared" si="1"/>
        <v>0</v>
      </c>
      <c r="D11" s="109"/>
      <c r="E11" s="127"/>
      <c r="F11" s="127"/>
      <c r="G11" s="119"/>
      <c r="H11" s="90"/>
      <c r="I11" s="90"/>
      <c r="J11" s="90"/>
      <c r="K11" s="119"/>
      <c r="L11" s="90"/>
      <c r="M11" s="90"/>
      <c r="N11" s="98"/>
      <c r="O11" s="114"/>
      <c r="P11" s="127"/>
      <c r="Q11" s="127"/>
      <c r="R11" s="119"/>
      <c r="S11" s="90"/>
      <c r="T11" s="90"/>
      <c r="U11" s="90"/>
      <c r="V11" s="119"/>
      <c r="W11" s="90"/>
      <c r="X11" s="90"/>
      <c r="Y11" s="98"/>
      <c r="Z11" s="114"/>
      <c r="AA11" s="127"/>
      <c r="AB11" s="127"/>
      <c r="AC11" s="119"/>
      <c r="AD11" s="90"/>
      <c r="AE11" s="90"/>
      <c r="AF11" s="127"/>
      <c r="AG11" s="119"/>
      <c r="AH11" s="90"/>
      <c r="AI11" s="127"/>
      <c r="AJ11" s="98"/>
      <c r="AK11" s="114"/>
      <c r="AL11" s="127"/>
      <c r="AM11" s="127"/>
      <c r="AN11" s="119"/>
      <c r="AO11" s="90"/>
      <c r="AP11" s="90"/>
      <c r="AQ11" s="90"/>
      <c r="AR11" s="119"/>
      <c r="AS11" s="90"/>
      <c r="AT11" s="90"/>
      <c r="AU11" s="98"/>
      <c r="AV11" s="114"/>
      <c r="AW11" s="127"/>
      <c r="AX11" s="127"/>
      <c r="AY11" s="119"/>
      <c r="AZ11" s="90"/>
      <c r="BA11" s="90"/>
      <c r="BB11" s="90"/>
      <c r="BC11" s="119"/>
      <c r="BD11" s="90"/>
      <c r="BE11" s="90"/>
      <c r="BF11" s="98"/>
      <c r="BG11" s="104"/>
      <c r="BH11" s="90"/>
      <c r="BI11" s="90"/>
      <c r="BJ11" s="90"/>
      <c r="BK11" s="91"/>
      <c r="BL11" s="69"/>
      <c r="BM11" s="56">
        <v>1</v>
      </c>
      <c r="BN11">
        <f t="shared" si="2"/>
        <v>0</v>
      </c>
      <c r="BO11">
        <f t="shared" si="3"/>
        <v>0</v>
      </c>
      <c r="BP11">
        <f t="shared" si="4"/>
        <v>0</v>
      </c>
      <c r="BQ11">
        <f t="shared" si="5"/>
        <v>0</v>
      </c>
    </row>
    <row r="12" spans="1:69">
      <c r="A12" s="41">
        <f>IF(ISBLANK(名簿!A11),"",名簿!A11)</f>
        <v>10</v>
      </c>
      <c r="B12" s="42">
        <f t="shared" si="0"/>
        <v>0</v>
      </c>
      <c r="C12" s="43">
        <f t="shared" si="1"/>
        <v>0</v>
      </c>
      <c r="D12" s="110"/>
      <c r="E12" s="128"/>
      <c r="F12" s="128"/>
      <c r="G12" s="120"/>
      <c r="H12" s="92"/>
      <c r="I12" s="92"/>
      <c r="J12" s="92"/>
      <c r="K12" s="120"/>
      <c r="L12" s="92"/>
      <c r="M12" s="92"/>
      <c r="N12" s="99"/>
      <c r="O12" s="115"/>
      <c r="P12" s="128"/>
      <c r="Q12" s="128"/>
      <c r="R12" s="120"/>
      <c r="S12" s="92"/>
      <c r="T12" s="92"/>
      <c r="U12" s="92"/>
      <c r="V12" s="120"/>
      <c r="W12" s="92"/>
      <c r="X12" s="92"/>
      <c r="Y12" s="99"/>
      <c r="Z12" s="115"/>
      <c r="AA12" s="128"/>
      <c r="AB12" s="128"/>
      <c r="AC12" s="120"/>
      <c r="AD12" s="92"/>
      <c r="AE12" s="92"/>
      <c r="AF12" s="128"/>
      <c r="AG12" s="120"/>
      <c r="AH12" s="92"/>
      <c r="AI12" s="128"/>
      <c r="AJ12" s="99"/>
      <c r="AK12" s="115"/>
      <c r="AL12" s="128"/>
      <c r="AM12" s="128"/>
      <c r="AN12" s="120"/>
      <c r="AO12" s="92"/>
      <c r="AP12" s="92"/>
      <c r="AQ12" s="92"/>
      <c r="AR12" s="120"/>
      <c r="AS12" s="92"/>
      <c r="AT12" s="92"/>
      <c r="AU12" s="99"/>
      <c r="AV12" s="115"/>
      <c r="AW12" s="128"/>
      <c r="AX12" s="128"/>
      <c r="AY12" s="120"/>
      <c r="AZ12" s="92"/>
      <c r="BA12" s="92"/>
      <c r="BB12" s="92"/>
      <c r="BC12" s="120"/>
      <c r="BD12" s="92"/>
      <c r="BE12" s="92"/>
      <c r="BF12" s="99"/>
      <c r="BG12" s="105"/>
      <c r="BH12" s="92"/>
      <c r="BI12" s="92"/>
      <c r="BJ12" s="92"/>
      <c r="BK12" s="93"/>
      <c r="BL12" s="69"/>
      <c r="BM12" s="56">
        <v>1</v>
      </c>
      <c r="BN12">
        <f t="shared" si="2"/>
        <v>0</v>
      </c>
      <c r="BO12">
        <f t="shared" si="3"/>
        <v>0</v>
      </c>
      <c r="BP12">
        <f t="shared" si="4"/>
        <v>0</v>
      </c>
      <c r="BQ12">
        <f t="shared" si="5"/>
        <v>0</v>
      </c>
    </row>
    <row r="13" spans="1:69">
      <c r="A13" s="44">
        <f>IF(ISBLANK(名簿!A12),"",名簿!A12)</f>
        <v>11</v>
      </c>
      <c r="B13" s="45">
        <f t="shared" si="0"/>
        <v>0</v>
      </c>
      <c r="C13" s="46">
        <f t="shared" si="1"/>
        <v>0</v>
      </c>
      <c r="D13" s="111"/>
      <c r="E13" s="129"/>
      <c r="F13" s="129"/>
      <c r="G13" s="121"/>
      <c r="H13" s="94"/>
      <c r="I13" s="94"/>
      <c r="J13" s="94"/>
      <c r="K13" s="121"/>
      <c r="L13" s="94"/>
      <c r="M13" s="94"/>
      <c r="N13" s="100"/>
      <c r="O13" s="116"/>
      <c r="P13" s="129"/>
      <c r="Q13" s="129"/>
      <c r="R13" s="121"/>
      <c r="S13" s="94"/>
      <c r="T13" s="94"/>
      <c r="U13" s="94"/>
      <c r="V13" s="121"/>
      <c r="W13" s="94"/>
      <c r="X13" s="94"/>
      <c r="Y13" s="100"/>
      <c r="Z13" s="116"/>
      <c r="AA13" s="129"/>
      <c r="AB13" s="129"/>
      <c r="AC13" s="121"/>
      <c r="AD13" s="94"/>
      <c r="AE13" s="94"/>
      <c r="AF13" s="129"/>
      <c r="AG13" s="121"/>
      <c r="AH13" s="94"/>
      <c r="AI13" s="129"/>
      <c r="AJ13" s="100"/>
      <c r="AK13" s="116"/>
      <c r="AL13" s="129"/>
      <c r="AM13" s="129"/>
      <c r="AN13" s="121"/>
      <c r="AO13" s="94"/>
      <c r="AP13" s="94"/>
      <c r="AQ13" s="94"/>
      <c r="AR13" s="121"/>
      <c r="AS13" s="94"/>
      <c r="AT13" s="94"/>
      <c r="AU13" s="100"/>
      <c r="AV13" s="116"/>
      <c r="AW13" s="129"/>
      <c r="AX13" s="129"/>
      <c r="AY13" s="121"/>
      <c r="AZ13" s="94"/>
      <c r="BA13" s="94"/>
      <c r="BB13" s="94"/>
      <c r="BC13" s="121"/>
      <c r="BD13" s="94"/>
      <c r="BE13" s="94"/>
      <c r="BF13" s="100"/>
      <c r="BG13" s="106"/>
      <c r="BH13" s="94"/>
      <c r="BI13" s="94"/>
      <c r="BJ13" s="94"/>
      <c r="BK13" s="95"/>
      <c r="BL13" s="69"/>
      <c r="BM13" s="56">
        <v>1</v>
      </c>
      <c r="BN13">
        <f t="shared" si="2"/>
        <v>0</v>
      </c>
      <c r="BO13">
        <f t="shared" si="3"/>
        <v>0</v>
      </c>
      <c r="BP13">
        <f t="shared" si="4"/>
        <v>0</v>
      </c>
      <c r="BQ13">
        <f t="shared" si="5"/>
        <v>0</v>
      </c>
    </row>
    <row r="14" spans="1:69">
      <c r="A14" s="38">
        <f>IF(ISBLANK(名簿!A13),"",名簿!A13)</f>
        <v>12</v>
      </c>
      <c r="B14" s="39">
        <f t="shared" si="0"/>
        <v>0</v>
      </c>
      <c r="C14" s="40">
        <f t="shared" si="1"/>
        <v>0</v>
      </c>
      <c r="D14" s="109"/>
      <c r="E14" s="127"/>
      <c r="F14" s="127"/>
      <c r="G14" s="119"/>
      <c r="H14" s="90"/>
      <c r="I14" s="90"/>
      <c r="J14" s="90"/>
      <c r="K14" s="119"/>
      <c r="L14" s="90"/>
      <c r="M14" s="90"/>
      <c r="N14" s="98"/>
      <c r="O14" s="114"/>
      <c r="P14" s="127"/>
      <c r="Q14" s="127"/>
      <c r="R14" s="119"/>
      <c r="S14" s="90"/>
      <c r="T14" s="90"/>
      <c r="U14" s="90"/>
      <c r="V14" s="119"/>
      <c r="W14" s="90"/>
      <c r="X14" s="90"/>
      <c r="Y14" s="98"/>
      <c r="Z14" s="114"/>
      <c r="AA14" s="127"/>
      <c r="AB14" s="127"/>
      <c r="AC14" s="119"/>
      <c r="AD14" s="90"/>
      <c r="AE14" s="90"/>
      <c r="AF14" s="127"/>
      <c r="AG14" s="119"/>
      <c r="AH14" s="90"/>
      <c r="AI14" s="127"/>
      <c r="AJ14" s="98"/>
      <c r="AK14" s="114"/>
      <c r="AL14" s="127"/>
      <c r="AM14" s="127"/>
      <c r="AN14" s="119"/>
      <c r="AO14" s="90"/>
      <c r="AP14" s="90"/>
      <c r="AQ14" s="90"/>
      <c r="AR14" s="119"/>
      <c r="AS14" s="90"/>
      <c r="AT14" s="90"/>
      <c r="AU14" s="98"/>
      <c r="AV14" s="114"/>
      <c r="AW14" s="127"/>
      <c r="AX14" s="127"/>
      <c r="AY14" s="119"/>
      <c r="AZ14" s="90"/>
      <c r="BA14" s="90"/>
      <c r="BB14" s="90"/>
      <c r="BC14" s="119"/>
      <c r="BD14" s="90"/>
      <c r="BE14" s="90"/>
      <c r="BF14" s="98"/>
      <c r="BG14" s="104"/>
      <c r="BH14" s="90"/>
      <c r="BI14" s="90"/>
      <c r="BJ14" s="90"/>
      <c r="BK14" s="91"/>
      <c r="BL14" s="69"/>
      <c r="BM14" s="56">
        <v>1</v>
      </c>
      <c r="BN14">
        <f t="shared" si="2"/>
        <v>0</v>
      </c>
      <c r="BO14">
        <f t="shared" si="3"/>
        <v>0</v>
      </c>
      <c r="BP14">
        <f t="shared" si="4"/>
        <v>0</v>
      </c>
      <c r="BQ14">
        <f t="shared" si="5"/>
        <v>0</v>
      </c>
    </row>
    <row r="15" spans="1:69">
      <c r="A15" s="38">
        <f>IF(ISBLANK(名簿!A14),"",名簿!A14)</f>
        <v>13</v>
      </c>
      <c r="B15" s="39">
        <f t="shared" si="0"/>
        <v>0</v>
      </c>
      <c r="C15" s="40">
        <f t="shared" si="1"/>
        <v>0</v>
      </c>
      <c r="D15" s="109"/>
      <c r="E15" s="127"/>
      <c r="F15" s="127"/>
      <c r="G15" s="119"/>
      <c r="H15" s="90"/>
      <c r="I15" s="90"/>
      <c r="J15" s="90"/>
      <c r="K15" s="119"/>
      <c r="L15" s="90"/>
      <c r="M15" s="90"/>
      <c r="N15" s="98"/>
      <c r="O15" s="114"/>
      <c r="P15" s="127"/>
      <c r="Q15" s="127"/>
      <c r="R15" s="119"/>
      <c r="S15" s="90"/>
      <c r="T15" s="90"/>
      <c r="U15" s="90"/>
      <c r="V15" s="119"/>
      <c r="W15" s="90"/>
      <c r="X15" s="90"/>
      <c r="Y15" s="98"/>
      <c r="Z15" s="114"/>
      <c r="AA15" s="127"/>
      <c r="AB15" s="127"/>
      <c r="AC15" s="119"/>
      <c r="AD15" s="90"/>
      <c r="AE15" s="90"/>
      <c r="AF15" s="127"/>
      <c r="AG15" s="119"/>
      <c r="AH15" s="90"/>
      <c r="AI15" s="127"/>
      <c r="AJ15" s="98"/>
      <c r="AK15" s="114"/>
      <c r="AL15" s="127"/>
      <c r="AM15" s="127"/>
      <c r="AN15" s="119"/>
      <c r="AO15" s="90"/>
      <c r="AP15" s="90"/>
      <c r="AQ15" s="90"/>
      <c r="AR15" s="119"/>
      <c r="AS15" s="90"/>
      <c r="AT15" s="90"/>
      <c r="AU15" s="98"/>
      <c r="AV15" s="114"/>
      <c r="AW15" s="127"/>
      <c r="AX15" s="127"/>
      <c r="AY15" s="119"/>
      <c r="AZ15" s="90"/>
      <c r="BA15" s="90"/>
      <c r="BB15" s="90"/>
      <c r="BC15" s="119"/>
      <c r="BD15" s="90"/>
      <c r="BE15" s="90"/>
      <c r="BF15" s="98"/>
      <c r="BG15" s="104"/>
      <c r="BH15" s="90"/>
      <c r="BI15" s="90"/>
      <c r="BJ15" s="90"/>
      <c r="BK15" s="91"/>
      <c r="BL15" s="69"/>
      <c r="BM15" s="56">
        <v>1</v>
      </c>
      <c r="BN15">
        <f t="shared" si="2"/>
        <v>0</v>
      </c>
      <c r="BO15">
        <f t="shared" si="3"/>
        <v>0</v>
      </c>
      <c r="BP15">
        <f t="shared" si="4"/>
        <v>0</v>
      </c>
      <c r="BQ15">
        <f t="shared" si="5"/>
        <v>0</v>
      </c>
    </row>
    <row r="16" spans="1:69">
      <c r="A16" s="38">
        <f>IF(ISBLANK(名簿!A15),"",名簿!A15)</f>
        <v>14</v>
      </c>
      <c r="B16" s="39">
        <f t="shared" si="0"/>
        <v>0</v>
      </c>
      <c r="C16" s="40">
        <f t="shared" si="1"/>
        <v>0</v>
      </c>
      <c r="D16" s="109"/>
      <c r="E16" s="127"/>
      <c r="F16" s="127"/>
      <c r="G16" s="119"/>
      <c r="H16" s="90"/>
      <c r="I16" s="90"/>
      <c r="J16" s="90"/>
      <c r="K16" s="119"/>
      <c r="L16" s="90"/>
      <c r="M16" s="90"/>
      <c r="N16" s="98"/>
      <c r="O16" s="114"/>
      <c r="P16" s="127"/>
      <c r="Q16" s="127"/>
      <c r="R16" s="119"/>
      <c r="S16" s="90"/>
      <c r="T16" s="90"/>
      <c r="U16" s="90"/>
      <c r="V16" s="119"/>
      <c r="W16" s="90"/>
      <c r="X16" s="90"/>
      <c r="Y16" s="98"/>
      <c r="Z16" s="114"/>
      <c r="AA16" s="127"/>
      <c r="AB16" s="127"/>
      <c r="AC16" s="119"/>
      <c r="AD16" s="90"/>
      <c r="AE16" s="90"/>
      <c r="AF16" s="127"/>
      <c r="AG16" s="119"/>
      <c r="AH16" s="90"/>
      <c r="AI16" s="127"/>
      <c r="AJ16" s="98"/>
      <c r="AK16" s="114"/>
      <c r="AL16" s="127"/>
      <c r="AM16" s="127"/>
      <c r="AN16" s="119"/>
      <c r="AO16" s="90"/>
      <c r="AP16" s="90"/>
      <c r="AQ16" s="90"/>
      <c r="AR16" s="119"/>
      <c r="AS16" s="90"/>
      <c r="AT16" s="90"/>
      <c r="AU16" s="98"/>
      <c r="AV16" s="114"/>
      <c r="AW16" s="127"/>
      <c r="AX16" s="127"/>
      <c r="AY16" s="119"/>
      <c r="AZ16" s="90"/>
      <c r="BA16" s="90"/>
      <c r="BB16" s="90"/>
      <c r="BC16" s="119"/>
      <c r="BD16" s="90"/>
      <c r="BE16" s="90"/>
      <c r="BF16" s="98"/>
      <c r="BG16" s="104"/>
      <c r="BH16" s="90"/>
      <c r="BI16" s="90"/>
      <c r="BJ16" s="90"/>
      <c r="BK16" s="91"/>
      <c r="BL16" s="69"/>
      <c r="BM16" s="56">
        <v>1</v>
      </c>
      <c r="BN16">
        <f t="shared" si="2"/>
        <v>0</v>
      </c>
      <c r="BO16">
        <f t="shared" si="3"/>
        <v>0</v>
      </c>
      <c r="BP16">
        <f t="shared" si="4"/>
        <v>0</v>
      </c>
      <c r="BQ16">
        <f t="shared" si="5"/>
        <v>0</v>
      </c>
    </row>
    <row r="17" spans="1:69">
      <c r="A17" s="41">
        <f>IF(ISBLANK(名簿!A16),"",名簿!A16)</f>
        <v>15</v>
      </c>
      <c r="B17" s="42">
        <f t="shared" si="0"/>
        <v>0</v>
      </c>
      <c r="C17" s="43">
        <f t="shared" si="1"/>
        <v>0</v>
      </c>
      <c r="D17" s="110"/>
      <c r="E17" s="128"/>
      <c r="F17" s="128"/>
      <c r="G17" s="120"/>
      <c r="H17" s="92"/>
      <c r="I17" s="92"/>
      <c r="J17" s="92"/>
      <c r="K17" s="120"/>
      <c r="L17" s="92"/>
      <c r="M17" s="92"/>
      <c r="N17" s="99"/>
      <c r="O17" s="115"/>
      <c r="P17" s="128"/>
      <c r="Q17" s="128"/>
      <c r="R17" s="120"/>
      <c r="S17" s="92"/>
      <c r="T17" s="92"/>
      <c r="U17" s="92"/>
      <c r="V17" s="120"/>
      <c r="W17" s="92"/>
      <c r="X17" s="92"/>
      <c r="Y17" s="99"/>
      <c r="Z17" s="115"/>
      <c r="AA17" s="128"/>
      <c r="AB17" s="128"/>
      <c r="AC17" s="120"/>
      <c r="AD17" s="92"/>
      <c r="AE17" s="92"/>
      <c r="AF17" s="128"/>
      <c r="AG17" s="120"/>
      <c r="AH17" s="92"/>
      <c r="AI17" s="128"/>
      <c r="AJ17" s="99"/>
      <c r="AK17" s="115"/>
      <c r="AL17" s="128"/>
      <c r="AM17" s="128"/>
      <c r="AN17" s="120"/>
      <c r="AO17" s="92"/>
      <c r="AP17" s="92"/>
      <c r="AQ17" s="92"/>
      <c r="AR17" s="120"/>
      <c r="AS17" s="92"/>
      <c r="AT17" s="92"/>
      <c r="AU17" s="99"/>
      <c r="AV17" s="115"/>
      <c r="AW17" s="128"/>
      <c r="AX17" s="128"/>
      <c r="AY17" s="120"/>
      <c r="AZ17" s="92"/>
      <c r="BA17" s="92"/>
      <c r="BB17" s="92"/>
      <c r="BC17" s="120"/>
      <c r="BD17" s="92"/>
      <c r="BE17" s="92"/>
      <c r="BF17" s="99"/>
      <c r="BG17" s="105"/>
      <c r="BH17" s="92"/>
      <c r="BI17" s="92"/>
      <c r="BJ17" s="92"/>
      <c r="BK17" s="93"/>
      <c r="BL17" s="69"/>
      <c r="BM17" s="56">
        <v>1</v>
      </c>
      <c r="BN17">
        <f t="shared" si="2"/>
        <v>0</v>
      </c>
      <c r="BO17">
        <f t="shared" si="3"/>
        <v>0</v>
      </c>
      <c r="BP17">
        <f t="shared" si="4"/>
        <v>0</v>
      </c>
      <c r="BQ17">
        <f t="shared" si="5"/>
        <v>0</v>
      </c>
    </row>
    <row r="18" spans="1:69">
      <c r="A18" s="44">
        <f>IF(ISBLANK(名簿!A17),"",名簿!A17)</f>
        <v>16</v>
      </c>
      <c r="B18" s="45">
        <f t="shared" si="0"/>
        <v>0</v>
      </c>
      <c r="C18" s="46">
        <f t="shared" si="1"/>
        <v>0</v>
      </c>
      <c r="D18" s="111"/>
      <c r="E18" s="129"/>
      <c r="F18" s="129"/>
      <c r="G18" s="121"/>
      <c r="H18" s="94"/>
      <c r="I18" s="94"/>
      <c r="J18" s="94"/>
      <c r="K18" s="121"/>
      <c r="L18" s="94"/>
      <c r="M18" s="94"/>
      <c r="N18" s="100"/>
      <c r="O18" s="116"/>
      <c r="P18" s="129"/>
      <c r="Q18" s="129"/>
      <c r="R18" s="121"/>
      <c r="S18" s="94"/>
      <c r="T18" s="94"/>
      <c r="U18" s="94"/>
      <c r="V18" s="121"/>
      <c r="W18" s="94"/>
      <c r="X18" s="94"/>
      <c r="Y18" s="100"/>
      <c r="Z18" s="116"/>
      <c r="AA18" s="129"/>
      <c r="AB18" s="129"/>
      <c r="AC18" s="121"/>
      <c r="AD18" s="94"/>
      <c r="AE18" s="94"/>
      <c r="AF18" s="129"/>
      <c r="AG18" s="121"/>
      <c r="AH18" s="94"/>
      <c r="AI18" s="129"/>
      <c r="AJ18" s="100"/>
      <c r="AK18" s="116"/>
      <c r="AL18" s="129"/>
      <c r="AM18" s="129"/>
      <c r="AN18" s="121"/>
      <c r="AO18" s="94"/>
      <c r="AP18" s="94"/>
      <c r="AQ18" s="94"/>
      <c r="AR18" s="121"/>
      <c r="AS18" s="94"/>
      <c r="AT18" s="94"/>
      <c r="AU18" s="100"/>
      <c r="AV18" s="116"/>
      <c r="AW18" s="129"/>
      <c r="AX18" s="129"/>
      <c r="AY18" s="121"/>
      <c r="AZ18" s="94"/>
      <c r="BA18" s="94"/>
      <c r="BB18" s="94"/>
      <c r="BC18" s="121"/>
      <c r="BD18" s="94"/>
      <c r="BE18" s="94"/>
      <c r="BF18" s="100"/>
      <c r="BG18" s="106"/>
      <c r="BH18" s="94"/>
      <c r="BI18" s="94"/>
      <c r="BJ18" s="94"/>
      <c r="BK18" s="95"/>
      <c r="BL18" s="69"/>
      <c r="BM18" s="56">
        <v>1</v>
      </c>
      <c r="BN18">
        <f t="shared" si="2"/>
        <v>0</v>
      </c>
      <c r="BO18">
        <f t="shared" si="3"/>
        <v>0</v>
      </c>
      <c r="BP18">
        <f t="shared" si="4"/>
        <v>0</v>
      </c>
      <c r="BQ18">
        <f t="shared" si="5"/>
        <v>0</v>
      </c>
    </row>
    <row r="19" spans="1:69">
      <c r="A19" s="38">
        <f>IF(ISBLANK(名簿!A18),"",名簿!A18)</f>
        <v>17</v>
      </c>
      <c r="B19" s="39">
        <f t="shared" si="0"/>
        <v>0</v>
      </c>
      <c r="C19" s="40">
        <f t="shared" si="1"/>
        <v>0</v>
      </c>
      <c r="D19" s="109"/>
      <c r="E19" s="127"/>
      <c r="F19" s="127"/>
      <c r="G19" s="119"/>
      <c r="H19" s="90"/>
      <c r="I19" s="90"/>
      <c r="J19" s="90"/>
      <c r="K19" s="119"/>
      <c r="L19" s="90"/>
      <c r="M19" s="90"/>
      <c r="N19" s="98"/>
      <c r="O19" s="114"/>
      <c r="P19" s="127"/>
      <c r="Q19" s="127"/>
      <c r="R19" s="119"/>
      <c r="S19" s="90"/>
      <c r="T19" s="90"/>
      <c r="U19" s="90"/>
      <c r="V19" s="119"/>
      <c r="W19" s="90"/>
      <c r="X19" s="90"/>
      <c r="Y19" s="98"/>
      <c r="Z19" s="114"/>
      <c r="AA19" s="127"/>
      <c r="AB19" s="127"/>
      <c r="AC19" s="119"/>
      <c r="AD19" s="90"/>
      <c r="AE19" s="90"/>
      <c r="AF19" s="127"/>
      <c r="AG19" s="119"/>
      <c r="AH19" s="90"/>
      <c r="AI19" s="127"/>
      <c r="AJ19" s="98"/>
      <c r="AK19" s="114"/>
      <c r="AL19" s="127"/>
      <c r="AM19" s="127"/>
      <c r="AN19" s="119"/>
      <c r="AO19" s="90"/>
      <c r="AP19" s="90"/>
      <c r="AQ19" s="90"/>
      <c r="AR19" s="119"/>
      <c r="AS19" s="90"/>
      <c r="AT19" s="90"/>
      <c r="AU19" s="98"/>
      <c r="AV19" s="114"/>
      <c r="AW19" s="127"/>
      <c r="AX19" s="127"/>
      <c r="AY19" s="119"/>
      <c r="AZ19" s="90"/>
      <c r="BA19" s="90"/>
      <c r="BB19" s="90"/>
      <c r="BC19" s="119"/>
      <c r="BD19" s="90"/>
      <c r="BE19" s="90"/>
      <c r="BF19" s="98"/>
      <c r="BG19" s="104"/>
      <c r="BH19" s="90"/>
      <c r="BI19" s="90"/>
      <c r="BJ19" s="90"/>
      <c r="BK19" s="91"/>
      <c r="BL19" s="69"/>
      <c r="BM19" s="56">
        <v>1</v>
      </c>
      <c r="BN19">
        <f t="shared" si="2"/>
        <v>0</v>
      </c>
      <c r="BO19">
        <f t="shared" si="3"/>
        <v>0</v>
      </c>
      <c r="BP19">
        <f t="shared" si="4"/>
        <v>0</v>
      </c>
      <c r="BQ19">
        <f t="shared" si="5"/>
        <v>0</v>
      </c>
    </row>
    <row r="20" spans="1:69">
      <c r="A20" s="38">
        <f>IF(ISBLANK(名簿!A19),"",名簿!A19)</f>
        <v>18</v>
      </c>
      <c r="B20" s="39">
        <f t="shared" si="0"/>
        <v>0</v>
      </c>
      <c r="C20" s="40">
        <f t="shared" si="1"/>
        <v>0</v>
      </c>
      <c r="D20" s="109"/>
      <c r="E20" s="127"/>
      <c r="F20" s="127"/>
      <c r="G20" s="119"/>
      <c r="H20" s="90"/>
      <c r="I20" s="90"/>
      <c r="J20" s="90"/>
      <c r="K20" s="119"/>
      <c r="L20" s="90"/>
      <c r="M20" s="90"/>
      <c r="N20" s="98"/>
      <c r="O20" s="114"/>
      <c r="P20" s="127"/>
      <c r="Q20" s="127"/>
      <c r="R20" s="119"/>
      <c r="S20" s="90"/>
      <c r="T20" s="90"/>
      <c r="U20" s="90"/>
      <c r="V20" s="119"/>
      <c r="W20" s="90"/>
      <c r="X20" s="90"/>
      <c r="Y20" s="98"/>
      <c r="Z20" s="114"/>
      <c r="AA20" s="127"/>
      <c r="AB20" s="127"/>
      <c r="AC20" s="119"/>
      <c r="AD20" s="90"/>
      <c r="AE20" s="90"/>
      <c r="AF20" s="127"/>
      <c r="AG20" s="119"/>
      <c r="AH20" s="90"/>
      <c r="AI20" s="127"/>
      <c r="AJ20" s="98"/>
      <c r="AK20" s="114"/>
      <c r="AL20" s="127"/>
      <c r="AM20" s="127"/>
      <c r="AN20" s="119"/>
      <c r="AO20" s="90"/>
      <c r="AP20" s="90"/>
      <c r="AQ20" s="90"/>
      <c r="AR20" s="119"/>
      <c r="AS20" s="90"/>
      <c r="AT20" s="90"/>
      <c r="AU20" s="98"/>
      <c r="AV20" s="114"/>
      <c r="AW20" s="127"/>
      <c r="AX20" s="127"/>
      <c r="AY20" s="119"/>
      <c r="AZ20" s="90"/>
      <c r="BA20" s="90"/>
      <c r="BB20" s="90"/>
      <c r="BC20" s="119"/>
      <c r="BD20" s="90"/>
      <c r="BE20" s="90"/>
      <c r="BF20" s="98"/>
      <c r="BG20" s="104"/>
      <c r="BH20" s="90"/>
      <c r="BI20" s="90"/>
      <c r="BJ20" s="90"/>
      <c r="BK20" s="91"/>
      <c r="BL20" s="69"/>
      <c r="BM20" s="56">
        <v>1</v>
      </c>
      <c r="BN20">
        <f t="shared" si="2"/>
        <v>0</v>
      </c>
      <c r="BO20">
        <f t="shared" si="3"/>
        <v>0</v>
      </c>
      <c r="BP20">
        <f t="shared" si="4"/>
        <v>0</v>
      </c>
      <c r="BQ20">
        <f t="shared" si="5"/>
        <v>0</v>
      </c>
    </row>
    <row r="21" spans="1:69">
      <c r="A21" s="38">
        <f>IF(ISBLANK(名簿!A20),"",名簿!A20)</f>
        <v>19</v>
      </c>
      <c r="B21" s="39">
        <f t="shared" si="0"/>
        <v>0</v>
      </c>
      <c r="C21" s="40">
        <f t="shared" si="1"/>
        <v>0</v>
      </c>
      <c r="D21" s="109"/>
      <c r="E21" s="127"/>
      <c r="F21" s="127"/>
      <c r="G21" s="119"/>
      <c r="H21" s="90"/>
      <c r="I21" s="90"/>
      <c r="J21" s="90"/>
      <c r="K21" s="119"/>
      <c r="L21" s="90"/>
      <c r="M21" s="90"/>
      <c r="N21" s="98"/>
      <c r="O21" s="114"/>
      <c r="P21" s="127"/>
      <c r="Q21" s="127"/>
      <c r="R21" s="119"/>
      <c r="S21" s="90"/>
      <c r="T21" s="90"/>
      <c r="U21" s="90"/>
      <c r="V21" s="119"/>
      <c r="W21" s="90"/>
      <c r="X21" s="90"/>
      <c r="Y21" s="98"/>
      <c r="Z21" s="114"/>
      <c r="AA21" s="127"/>
      <c r="AB21" s="127"/>
      <c r="AC21" s="119"/>
      <c r="AD21" s="90"/>
      <c r="AE21" s="90"/>
      <c r="AF21" s="127"/>
      <c r="AG21" s="119"/>
      <c r="AH21" s="90"/>
      <c r="AI21" s="127"/>
      <c r="AJ21" s="98"/>
      <c r="AK21" s="114"/>
      <c r="AL21" s="127"/>
      <c r="AM21" s="127"/>
      <c r="AN21" s="119"/>
      <c r="AO21" s="90"/>
      <c r="AP21" s="90"/>
      <c r="AQ21" s="90"/>
      <c r="AR21" s="119"/>
      <c r="AS21" s="90"/>
      <c r="AT21" s="90"/>
      <c r="AU21" s="98"/>
      <c r="AV21" s="114"/>
      <c r="AW21" s="127"/>
      <c r="AX21" s="127"/>
      <c r="AY21" s="119"/>
      <c r="AZ21" s="90"/>
      <c r="BA21" s="90"/>
      <c r="BB21" s="90"/>
      <c r="BC21" s="119"/>
      <c r="BD21" s="90"/>
      <c r="BE21" s="90"/>
      <c r="BF21" s="98"/>
      <c r="BG21" s="104"/>
      <c r="BH21" s="90"/>
      <c r="BI21" s="90"/>
      <c r="BJ21" s="90"/>
      <c r="BK21" s="91"/>
      <c r="BL21" s="69"/>
      <c r="BM21" s="56">
        <v>1</v>
      </c>
      <c r="BN21">
        <f t="shared" si="2"/>
        <v>0</v>
      </c>
      <c r="BO21">
        <f t="shared" si="3"/>
        <v>0</v>
      </c>
      <c r="BP21">
        <f t="shared" si="4"/>
        <v>0</v>
      </c>
      <c r="BQ21">
        <f t="shared" si="5"/>
        <v>0</v>
      </c>
    </row>
    <row r="22" spans="1:69">
      <c r="A22" s="41">
        <f>IF(ISBLANK(名簿!A21),"",名簿!A21)</f>
        <v>20</v>
      </c>
      <c r="B22" s="42">
        <f t="shared" si="0"/>
        <v>0</v>
      </c>
      <c r="C22" s="43">
        <f t="shared" si="1"/>
        <v>0</v>
      </c>
      <c r="D22" s="110"/>
      <c r="E22" s="128"/>
      <c r="F22" s="128"/>
      <c r="G22" s="120"/>
      <c r="H22" s="92"/>
      <c r="I22" s="92"/>
      <c r="J22" s="92"/>
      <c r="K22" s="120"/>
      <c r="L22" s="92"/>
      <c r="M22" s="92"/>
      <c r="N22" s="99"/>
      <c r="O22" s="115"/>
      <c r="P22" s="128"/>
      <c r="Q22" s="128"/>
      <c r="R22" s="120"/>
      <c r="S22" s="92"/>
      <c r="T22" s="92"/>
      <c r="U22" s="92"/>
      <c r="V22" s="120"/>
      <c r="W22" s="92"/>
      <c r="X22" s="92"/>
      <c r="Y22" s="99"/>
      <c r="Z22" s="115"/>
      <c r="AA22" s="128"/>
      <c r="AB22" s="128"/>
      <c r="AC22" s="120"/>
      <c r="AD22" s="92"/>
      <c r="AE22" s="92"/>
      <c r="AF22" s="128"/>
      <c r="AG22" s="120"/>
      <c r="AH22" s="92"/>
      <c r="AI22" s="128"/>
      <c r="AJ22" s="99"/>
      <c r="AK22" s="115"/>
      <c r="AL22" s="128"/>
      <c r="AM22" s="128"/>
      <c r="AN22" s="120"/>
      <c r="AO22" s="92"/>
      <c r="AP22" s="92"/>
      <c r="AQ22" s="92"/>
      <c r="AR22" s="120"/>
      <c r="AS22" s="92"/>
      <c r="AT22" s="92"/>
      <c r="AU22" s="99"/>
      <c r="AV22" s="115"/>
      <c r="AW22" s="128"/>
      <c r="AX22" s="128"/>
      <c r="AY22" s="120"/>
      <c r="AZ22" s="92"/>
      <c r="BA22" s="92"/>
      <c r="BB22" s="92"/>
      <c r="BC22" s="120"/>
      <c r="BD22" s="92"/>
      <c r="BE22" s="92"/>
      <c r="BF22" s="99"/>
      <c r="BG22" s="105"/>
      <c r="BH22" s="92"/>
      <c r="BI22" s="92"/>
      <c r="BJ22" s="92"/>
      <c r="BK22" s="93"/>
      <c r="BL22" s="69"/>
      <c r="BM22" s="56">
        <v>1</v>
      </c>
      <c r="BN22">
        <f t="shared" si="2"/>
        <v>0</v>
      </c>
      <c r="BO22">
        <f t="shared" si="3"/>
        <v>0</v>
      </c>
      <c r="BP22">
        <f t="shared" si="4"/>
        <v>0</v>
      </c>
      <c r="BQ22">
        <f t="shared" si="5"/>
        <v>0</v>
      </c>
    </row>
    <row r="23" spans="1:69">
      <c r="A23" s="44">
        <f>IF(ISBLANK(名簿!A22),"",名簿!A22)</f>
        <v>21</v>
      </c>
      <c r="B23" s="45">
        <f t="shared" si="0"/>
        <v>0</v>
      </c>
      <c r="C23" s="46">
        <f t="shared" si="1"/>
        <v>0</v>
      </c>
      <c r="D23" s="111"/>
      <c r="E23" s="129"/>
      <c r="F23" s="129"/>
      <c r="G23" s="121"/>
      <c r="H23" s="94"/>
      <c r="I23" s="94"/>
      <c r="J23" s="94"/>
      <c r="K23" s="121"/>
      <c r="L23" s="94"/>
      <c r="M23" s="94"/>
      <c r="N23" s="100"/>
      <c r="O23" s="116"/>
      <c r="P23" s="129"/>
      <c r="Q23" s="129"/>
      <c r="R23" s="121"/>
      <c r="S23" s="94"/>
      <c r="T23" s="94"/>
      <c r="U23" s="94"/>
      <c r="V23" s="121"/>
      <c r="W23" s="94"/>
      <c r="X23" s="94"/>
      <c r="Y23" s="100"/>
      <c r="Z23" s="116"/>
      <c r="AA23" s="129"/>
      <c r="AB23" s="129"/>
      <c r="AC23" s="121"/>
      <c r="AD23" s="94"/>
      <c r="AE23" s="94"/>
      <c r="AF23" s="129"/>
      <c r="AG23" s="121"/>
      <c r="AH23" s="94"/>
      <c r="AI23" s="129"/>
      <c r="AJ23" s="100"/>
      <c r="AK23" s="116"/>
      <c r="AL23" s="129"/>
      <c r="AM23" s="129"/>
      <c r="AN23" s="121"/>
      <c r="AO23" s="94"/>
      <c r="AP23" s="94"/>
      <c r="AQ23" s="94"/>
      <c r="AR23" s="121"/>
      <c r="AS23" s="94"/>
      <c r="AT23" s="94"/>
      <c r="AU23" s="100"/>
      <c r="AV23" s="116"/>
      <c r="AW23" s="129"/>
      <c r="AX23" s="129"/>
      <c r="AY23" s="121"/>
      <c r="AZ23" s="94"/>
      <c r="BA23" s="94"/>
      <c r="BB23" s="94"/>
      <c r="BC23" s="121"/>
      <c r="BD23" s="94"/>
      <c r="BE23" s="94"/>
      <c r="BF23" s="100"/>
      <c r="BG23" s="106"/>
      <c r="BH23" s="94"/>
      <c r="BI23" s="94"/>
      <c r="BJ23" s="94"/>
      <c r="BK23" s="95"/>
      <c r="BL23" s="69"/>
      <c r="BM23" s="56">
        <v>1</v>
      </c>
      <c r="BN23">
        <f t="shared" si="2"/>
        <v>0</v>
      </c>
      <c r="BO23">
        <f t="shared" si="3"/>
        <v>0</v>
      </c>
      <c r="BP23">
        <f t="shared" si="4"/>
        <v>0</v>
      </c>
      <c r="BQ23">
        <f t="shared" si="5"/>
        <v>0</v>
      </c>
    </row>
    <row r="24" spans="1:69">
      <c r="A24" s="38">
        <f>IF(ISBLANK(名簿!A23),"",名簿!A23)</f>
        <v>22</v>
      </c>
      <c r="B24" s="39">
        <f t="shared" si="0"/>
        <v>0</v>
      </c>
      <c r="C24" s="40">
        <f t="shared" si="1"/>
        <v>0</v>
      </c>
      <c r="D24" s="109"/>
      <c r="E24" s="127"/>
      <c r="F24" s="127"/>
      <c r="G24" s="119"/>
      <c r="H24" s="90"/>
      <c r="I24" s="90"/>
      <c r="J24" s="90"/>
      <c r="K24" s="119"/>
      <c r="L24" s="90"/>
      <c r="M24" s="90"/>
      <c r="N24" s="98"/>
      <c r="O24" s="114"/>
      <c r="P24" s="127"/>
      <c r="Q24" s="127"/>
      <c r="R24" s="119"/>
      <c r="S24" s="90"/>
      <c r="T24" s="90"/>
      <c r="U24" s="90"/>
      <c r="V24" s="119"/>
      <c r="W24" s="90"/>
      <c r="X24" s="90"/>
      <c r="Y24" s="98"/>
      <c r="Z24" s="114"/>
      <c r="AA24" s="127"/>
      <c r="AB24" s="127"/>
      <c r="AC24" s="119"/>
      <c r="AD24" s="90"/>
      <c r="AE24" s="90"/>
      <c r="AF24" s="127"/>
      <c r="AG24" s="119"/>
      <c r="AH24" s="90"/>
      <c r="AI24" s="127"/>
      <c r="AJ24" s="98"/>
      <c r="AK24" s="114"/>
      <c r="AL24" s="127"/>
      <c r="AM24" s="127"/>
      <c r="AN24" s="119"/>
      <c r="AO24" s="90"/>
      <c r="AP24" s="90"/>
      <c r="AQ24" s="90"/>
      <c r="AR24" s="119"/>
      <c r="AS24" s="90"/>
      <c r="AT24" s="90"/>
      <c r="AU24" s="98"/>
      <c r="AV24" s="114"/>
      <c r="AW24" s="127"/>
      <c r="AX24" s="127"/>
      <c r="AY24" s="119"/>
      <c r="AZ24" s="90"/>
      <c r="BA24" s="90"/>
      <c r="BB24" s="90"/>
      <c r="BC24" s="119"/>
      <c r="BD24" s="90"/>
      <c r="BE24" s="90"/>
      <c r="BF24" s="98"/>
      <c r="BG24" s="104"/>
      <c r="BH24" s="90"/>
      <c r="BI24" s="90"/>
      <c r="BJ24" s="90"/>
      <c r="BK24" s="91"/>
      <c r="BL24" s="69"/>
      <c r="BM24" s="56">
        <v>1</v>
      </c>
      <c r="BN24">
        <f t="shared" si="2"/>
        <v>0</v>
      </c>
      <c r="BO24">
        <f t="shared" si="3"/>
        <v>0</v>
      </c>
      <c r="BP24">
        <f t="shared" si="4"/>
        <v>0</v>
      </c>
      <c r="BQ24">
        <f t="shared" si="5"/>
        <v>0</v>
      </c>
    </row>
    <row r="25" spans="1:69">
      <c r="A25" s="38">
        <f>IF(ISBLANK(名簿!A24),"",名簿!A24)</f>
        <v>23</v>
      </c>
      <c r="B25" s="39">
        <f t="shared" si="0"/>
        <v>0</v>
      </c>
      <c r="C25" s="40">
        <f t="shared" si="1"/>
        <v>0</v>
      </c>
      <c r="D25" s="109"/>
      <c r="E25" s="127"/>
      <c r="F25" s="127"/>
      <c r="G25" s="119"/>
      <c r="H25" s="90"/>
      <c r="I25" s="90"/>
      <c r="J25" s="90"/>
      <c r="K25" s="119"/>
      <c r="L25" s="90"/>
      <c r="M25" s="90"/>
      <c r="N25" s="98"/>
      <c r="O25" s="114"/>
      <c r="P25" s="127"/>
      <c r="Q25" s="127"/>
      <c r="R25" s="119"/>
      <c r="S25" s="90"/>
      <c r="T25" s="90"/>
      <c r="U25" s="90"/>
      <c r="V25" s="119"/>
      <c r="W25" s="90"/>
      <c r="X25" s="90"/>
      <c r="Y25" s="98"/>
      <c r="Z25" s="114"/>
      <c r="AA25" s="127"/>
      <c r="AB25" s="127"/>
      <c r="AC25" s="119"/>
      <c r="AD25" s="90"/>
      <c r="AE25" s="90"/>
      <c r="AF25" s="127"/>
      <c r="AG25" s="119"/>
      <c r="AH25" s="90"/>
      <c r="AI25" s="127"/>
      <c r="AJ25" s="98"/>
      <c r="AK25" s="114"/>
      <c r="AL25" s="127"/>
      <c r="AM25" s="127"/>
      <c r="AN25" s="119"/>
      <c r="AO25" s="90"/>
      <c r="AP25" s="90"/>
      <c r="AQ25" s="90"/>
      <c r="AR25" s="119"/>
      <c r="AS25" s="90"/>
      <c r="AT25" s="90"/>
      <c r="AU25" s="98"/>
      <c r="AV25" s="114"/>
      <c r="AW25" s="127"/>
      <c r="AX25" s="127"/>
      <c r="AY25" s="119"/>
      <c r="AZ25" s="90"/>
      <c r="BA25" s="90"/>
      <c r="BB25" s="90"/>
      <c r="BC25" s="119"/>
      <c r="BD25" s="90"/>
      <c r="BE25" s="90"/>
      <c r="BF25" s="98"/>
      <c r="BG25" s="104"/>
      <c r="BH25" s="90"/>
      <c r="BI25" s="90"/>
      <c r="BJ25" s="90"/>
      <c r="BK25" s="91"/>
      <c r="BL25" s="69"/>
      <c r="BM25" s="56">
        <v>1</v>
      </c>
      <c r="BN25">
        <f t="shared" si="2"/>
        <v>0</v>
      </c>
      <c r="BO25">
        <f t="shared" si="3"/>
        <v>0</v>
      </c>
      <c r="BP25">
        <f t="shared" si="4"/>
        <v>0</v>
      </c>
      <c r="BQ25">
        <f t="shared" si="5"/>
        <v>0</v>
      </c>
    </row>
    <row r="26" spans="1:69">
      <c r="A26" s="38">
        <f>IF(ISBLANK(名簿!A25),"",名簿!A25)</f>
        <v>24</v>
      </c>
      <c r="B26" s="39">
        <f t="shared" si="0"/>
        <v>0</v>
      </c>
      <c r="C26" s="40">
        <f t="shared" si="1"/>
        <v>0</v>
      </c>
      <c r="D26" s="109"/>
      <c r="E26" s="127"/>
      <c r="F26" s="127"/>
      <c r="G26" s="119"/>
      <c r="H26" s="90"/>
      <c r="I26" s="90"/>
      <c r="J26" s="90"/>
      <c r="K26" s="119"/>
      <c r="L26" s="90"/>
      <c r="M26" s="90"/>
      <c r="N26" s="98"/>
      <c r="O26" s="114"/>
      <c r="P26" s="127"/>
      <c r="Q26" s="127"/>
      <c r="R26" s="119"/>
      <c r="S26" s="90"/>
      <c r="T26" s="90"/>
      <c r="U26" s="90"/>
      <c r="V26" s="119"/>
      <c r="W26" s="90"/>
      <c r="X26" s="90"/>
      <c r="Y26" s="98"/>
      <c r="Z26" s="114"/>
      <c r="AA26" s="127"/>
      <c r="AB26" s="127"/>
      <c r="AC26" s="119"/>
      <c r="AD26" s="90"/>
      <c r="AE26" s="90"/>
      <c r="AF26" s="127"/>
      <c r="AG26" s="119"/>
      <c r="AH26" s="90"/>
      <c r="AI26" s="127"/>
      <c r="AJ26" s="98"/>
      <c r="AK26" s="114"/>
      <c r="AL26" s="127"/>
      <c r="AM26" s="127"/>
      <c r="AN26" s="119"/>
      <c r="AO26" s="90"/>
      <c r="AP26" s="90"/>
      <c r="AQ26" s="90"/>
      <c r="AR26" s="119"/>
      <c r="AS26" s="90"/>
      <c r="AT26" s="90"/>
      <c r="AU26" s="98"/>
      <c r="AV26" s="114"/>
      <c r="AW26" s="127"/>
      <c r="AX26" s="127"/>
      <c r="AY26" s="119"/>
      <c r="AZ26" s="90"/>
      <c r="BA26" s="90"/>
      <c r="BB26" s="90"/>
      <c r="BC26" s="119"/>
      <c r="BD26" s="90"/>
      <c r="BE26" s="90"/>
      <c r="BF26" s="98"/>
      <c r="BG26" s="104"/>
      <c r="BH26" s="90"/>
      <c r="BI26" s="90"/>
      <c r="BJ26" s="90"/>
      <c r="BK26" s="91"/>
      <c r="BL26" s="69"/>
      <c r="BM26" s="56">
        <v>1</v>
      </c>
      <c r="BN26">
        <f t="shared" si="2"/>
        <v>0</v>
      </c>
      <c r="BO26">
        <f t="shared" si="3"/>
        <v>0</v>
      </c>
      <c r="BP26">
        <f t="shared" si="4"/>
        <v>0</v>
      </c>
      <c r="BQ26">
        <f t="shared" si="5"/>
        <v>0</v>
      </c>
    </row>
    <row r="27" spans="1:69">
      <c r="A27" s="41">
        <f>IF(ISBLANK(名簿!A26),"",名簿!A26)</f>
        <v>25</v>
      </c>
      <c r="B27" s="42">
        <f t="shared" si="0"/>
        <v>0</v>
      </c>
      <c r="C27" s="43">
        <f t="shared" si="1"/>
        <v>0</v>
      </c>
      <c r="D27" s="110"/>
      <c r="E27" s="128"/>
      <c r="F27" s="128"/>
      <c r="G27" s="120"/>
      <c r="H27" s="92"/>
      <c r="I27" s="92"/>
      <c r="J27" s="92"/>
      <c r="K27" s="120"/>
      <c r="L27" s="92"/>
      <c r="M27" s="92"/>
      <c r="N27" s="99"/>
      <c r="O27" s="115"/>
      <c r="P27" s="128"/>
      <c r="Q27" s="128"/>
      <c r="R27" s="120"/>
      <c r="S27" s="92"/>
      <c r="T27" s="92"/>
      <c r="U27" s="92"/>
      <c r="V27" s="120"/>
      <c r="W27" s="92"/>
      <c r="X27" s="92"/>
      <c r="Y27" s="99"/>
      <c r="Z27" s="115"/>
      <c r="AA27" s="128"/>
      <c r="AB27" s="128"/>
      <c r="AC27" s="120"/>
      <c r="AD27" s="92"/>
      <c r="AE27" s="92"/>
      <c r="AF27" s="128"/>
      <c r="AG27" s="120"/>
      <c r="AH27" s="92"/>
      <c r="AI27" s="128"/>
      <c r="AJ27" s="99"/>
      <c r="AK27" s="115"/>
      <c r="AL27" s="128"/>
      <c r="AM27" s="128"/>
      <c r="AN27" s="120"/>
      <c r="AO27" s="92"/>
      <c r="AP27" s="92"/>
      <c r="AQ27" s="92"/>
      <c r="AR27" s="120"/>
      <c r="AS27" s="92"/>
      <c r="AT27" s="92"/>
      <c r="AU27" s="99"/>
      <c r="AV27" s="115"/>
      <c r="AW27" s="128"/>
      <c r="AX27" s="128"/>
      <c r="AY27" s="120"/>
      <c r="AZ27" s="92"/>
      <c r="BA27" s="92"/>
      <c r="BB27" s="92"/>
      <c r="BC27" s="120"/>
      <c r="BD27" s="92"/>
      <c r="BE27" s="92"/>
      <c r="BF27" s="99"/>
      <c r="BG27" s="105"/>
      <c r="BH27" s="92"/>
      <c r="BI27" s="92"/>
      <c r="BJ27" s="92"/>
      <c r="BK27" s="93"/>
      <c r="BL27" s="69"/>
      <c r="BM27" s="56">
        <v>1</v>
      </c>
      <c r="BN27">
        <f t="shared" si="2"/>
        <v>0</v>
      </c>
      <c r="BO27">
        <f t="shared" si="3"/>
        <v>0</v>
      </c>
      <c r="BP27">
        <f t="shared" si="4"/>
        <v>0</v>
      </c>
      <c r="BQ27">
        <f t="shared" si="5"/>
        <v>0</v>
      </c>
    </row>
    <row r="28" spans="1:69">
      <c r="A28" s="44">
        <f>IF(ISBLANK(名簿!A27),"",名簿!A27)</f>
        <v>26</v>
      </c>
      <c r="B28" s="45">
        <f t="shared" si="0"/>
        <v>0</v>
      </c>
      <c r="C28" s="46">
        <f t="shared" si="1"/>
        <v>0</v>
      </c>
      <c r="D28" s="111"/>
      <c r="E28" s="129"/>
      <c r="F28" s="129"/>
      <c r="G28" s="121"/>
      <c r="H28" s="94"/>
      <c r="I28" s="94"/>
      <c r="J28" s="94"/>
      <c r="K28" s="121"/>
      <c r="L28" s="94"/>
      <c r="M28" s="94"/>
      <c r="N28" s="100"/>
      <c r="O28" s="116"/>
      <c r="P28" s="129"/>
      <c r="Q28" s="129"/>
      <c r="R28" s="121"/>
      <c r="S28" s="94"/>
      <c r="T28" s="94"/>
      <c r="U28" s="94"/>
      <c r="V28" s="121"/>
      <c r="W28" s="94"/>
      <c r="X28" s="94"/>
      <c r="Y28" s="100"/>
      <c r="Z28" s="116"/>
      <c r="AA28" s="129"/>
      <c r="AB28" s="129"/>
      <c r="AC28" s="121"/>
      <c r="AD28" s="94"/>
      <c r="AE28" s="94"/>
      <c r="AF28" s="129"/>
      <c r="AG28" s="121"/>
      <c r="AH28" s="94"/>
      <c r="AI28" s="129"/>
      <c r="AJ28" s="100"/>
      <c r="AK28" s="116"/>
      <c r="AL28" s="129"/>
      <c r="AM28" s="129"/>
      <c r="AN28" s="121"/>
      <c r="AO28" s="94"/>
      <c r="AP28" s="94"/>
      <c r="AQ28" s="94"/>
      <c r="AR28" s="121"/>
      <c r="AS28" s="94"/>
      <c r="AT28" s="94"/>
      <c r="AU28" s="100"/>
      <c r="AV28" s="116"/>
      <c r="AW28" s="129"/>
      <c r="AX28" s="129"/>
      <c r="AY28" s="121"/>
      <c r="AZ28" s="94"/>
      <c r="BA28" s="94"/>
      <c r="BB28" s="94"/>
      <c r="BC28" s="121"/>
      <c r="BD28" s="94"/>
      <c r="BE28" s="94"/>
      <c r="BF28" s="100"/>
      <c r="BG28" s="106"/>
      <c r="BH28" s="94"/>
      <c r="BI28" s="94"/>
      <c r="BJ28" s="94"/>
      <c r="BK28" s="95"/>
      <c r="BL28" s="69"/>
      <c r="BM28" s="56">
        <v>1</v>
      </c>
      <c r="BN28">
        <f t="shared" si="2"/>
        <v>0</v>
      </c>
      <c r="BO28">
        <f t="shared" si="3"/>
        <v>0</v>
      </c>
      <c r="BP28">
        <f t="shared" si="4"/>
        <v>0</v>
      </c>
      <c r="BQ28">
        <f t="shared" si="5"/>
        <v>0</v>
      </c>
    </row>
    <row r="29" spans="1:69">
      <c r="A29" s="38">
        <f>IF(ISBLANK(名簿!A28),"",名簿!A28)</f>
        <v>27</v>
      </c>
      <c r="B29" s="39">
        <f t="shared" si="0"/>
        <v>0</v>
      </c>
      <c r="C29" s="40">
        <f t="shared" si="1"/>
        <v>0</v>
      </c>
      <c r="D29" s="109"/>
      <c r="E29" s="127"/>
      <c r="F29" s="127"/>
      <c r="G29" s="119"/>
      <c r="H29" s="90"/>
      <c r="I29" s="90"/>
      <c r="J29" s="90"/>
      <c r="K29" s="119"/>
      <c r="L29" s="90"/>
      <c r="M29" s="90"/>
      <c r="N29" s="98"/>
      <c r="O29" s="114"/>
      <c r="P29" s="127"/>
      <c r="Q29" s="127"/>
      <c r="R29" s="119"/>
      <c r="S29" s="90"/>
      <c r="T29" s="90"/>
      <c r="U29" s="90"/>
      <c r="V29" s="119"/>
      <c r="W29" s="90"/>
      <c r="X29" s="90"/>
      <c r="Y29" s="98"/>
      <c r="Z29" s="114"/>
      <c r="AA29" s="127"/>
      <c r="AB29" s="127"/>
      <c r="AC29" s="119"/>
      <c r="AD29" s="90"/>
      <c r="AE29" s="90"/>
      <c r="AF29" s="127"/>
      <c r="AG29" s="119"/>
      <c r="AH29" s="90"/>
      <c r="AI29" s="127"/>
      <c r="AJ29" s="98"/>
      <c r="AK29" s="114"/>
      <c r="AL29" s="127"/>
      <c r="AM29" s="127"/>
      <c r="AN29" s="119"/>
      <c r="AO29" s="90"/>
      <c r="AP29" s="90"/>
      <c r="AQ29" s="90"/>
      <c r="AR29" s="119"/>
      <c r="AS29" s="90"/>
      <c r="AT29" s="90"/>
      <c r="AU29" s="98"/>
      <c r="AV29" s="114"/>
      <c r="AW29" s="127"/>
      <c r="AX29" s="127"/>
      <c r="AY29" s="119"/>
      <c r="AZ29" s="90"/>
      <c r="BA29" s="90"/>
      <c r="BB29" s="90"/>
      <c r="BC29" s="119"/>
      <c r="BD29" s="90"/>
      <c r="BE29" s="90"/>
      <c r="BF29" s="98"/>
      <c r="BG29" s="104"/>
      <c r="BH29" s="90"/>
      <c r="BI29" s="90"/>
      <c r="BJ29" s="90"/>
      <c r="BK29" s="91"/>
      <c r="BL29" s="69"/>
      <c r="BM29" s="56">
        <v>1</v>
      </c>
      <c r="BN29">
        <f t="shared" si="2"/>
        <v>0</v>
      </c>
      <c r="BO29">
        <f t="shared" si="3"/>
        <v>0</v>
      </c>
      <c r="BP29">
        <f t="shared" si="4"/>
        <v>0</v>
      </c>
      <c r="BQ29">
        <f t="shared" si="5"/>
        <v>0</v>
      </c>
    </row>
    <row r="30" spans="1:69">
      <c r="A30" s="38">
        <f>IF(ISBLANK(名簿!A29),"",名簿!A29)</f>
        <v>28</v>
      </c>
      <c r="B30" s="39">
        <f t="shared" si="0"/>
        <v>0</v>
      </c>
      <c r="C30" s="40">
        <f t="shared" si="1"/>
        <v>0</v>
      </c>
      <c r="D30" s="109"/>
      <c r="E30" s="127"/>
      <c r="F30" s="127"/>
      <c r="G30" s="119"/>
      <c r="H30" s="90"/>
      <c r="I30" s="90"/>
      <c r="J30" s="90"/>
      <c r="K30" s="119"/>
      <c r="L30" s="90"/>
      <c r="M30" s="90"/>
      <c r="N30" s="98"/>
      <c r="O30" s="114"/>
      <c r="P30" s="127"/>
      <c r="Q30" s="127"/>
      <c r="R30" s="119"/>
      <c r="S30" s="90"/>
      <c r="T30" s="90"/>
      <c r="U30" s="90"/>
      <c r="V30" s="119"/>
      <c r="W30" s="90"/>
      <c r="X30" s="90"/>
      <c r="Y30" s="98"/>
      <c r="Z30" s="114"/>
      <c r="AA30" s="127"/>
      <c r="AB30" s="127"/>
      <c r="AC30" s="119"/>
      <c r="AD30" s="90"/>
      <c r="AE30" s="90"/>
      <c r="AF30" s="127"/>
      <c r="AG30" s="119"/>
      <c r="AH30" s="90"/>
      <c r="AI30" s="127"/>
      <c r="AJ30" s="98"/>
      <c r="AK30" s="114"/>
      <c r="AL30" s="127"/>
      <c r="AM30" s="127"/>
      <c r="AN30" s="119"/>
      <c r="AO30" s="90"/>
      <c r="AP30" s="90"/>
      <c r="AQ30" s="90"/>
      <c r="AR30" s="119"/>
      <c r="AS30" s="90"/>
      <c r="AT30" s="90"/>
      <c r="AU30" s="98"/>
      <c r="AV30" s="114"/>
      <c r="AW30" s="127"/>
      <c r="AX30" s="127"/>
      <c r="AY30" s="119"/>
      <c r="AZ30" s="90"/>
      <c r="BA30" s="90"/>
      <c r="BB30" s="90"/>
      <c r="BC30" s="119"/>
      <c r="BD30" s="90"/>
      <c r="BE30" s="90"/>
      <c r="BF30" s="98"/>
      <c r="BG30" s="104"/>
      <c r="BH30" s="90"/>
      <c r="BI30" s="90"/>
      <c r="BJ30" s="90"/>
      <c r="BK30" s="91"/>
      <c r="BL30" s="69"/>
      <c r="BM30" s="56">
        <v>1</v>
      </c>
      <c r="BN30">
        <f t="shared" si="2"/>
        <v>0</v>
      </c>
      <c r="BO30">
        <f t="shared" si="3"/>
        <v>0</v>
      </c>
      <c r="BP30">
        <f t="shared" si="4"/>
        <v>0</v>
      </c>
      <c r="BQ30">
        <f t="shared" si="5"/>
        <v>0</v>
      </c>
    </row>
    <row r="31" spans="1:69">
      <c r="A31" s="38">
        <f>IF(ISBLANK(名簿!A30),"",名簿!A30)</f>
        <v>29</v>
      </c>
      <c r="B31" s="39">
        <f t="shared" si="0"/>
        <v>0</v>
      </c>
      <c r="C31" s="40">
        <f t="shared" si="1"/>
        <v>0</v>
      </c>
      <c r="D31" s="109"/>
      <c r="E31" s="127"/>
      <c r="F31" s="127"/>
      <c r="G31" s="119"/>
      <c r="H31" s="90"/>
      <c r="I31" s="90"/>
      <c r="J31" s="90"/>
      <c r="K31" s="119"/>
      <c r="L31" s="90"/>
      <c r="M31" s="90"/>
      <c r="N31" s="98"/>
      <c r="O31" s="114"/>
      <c r="P31" s="127"/>
      <c r="Q31" s="127"/>
      <c r="R31" s="119"/>
      <c r="S31" s="90"/>
      <c r="T31" s="90"/>
      <c r="U31" s="90"/>
      <c r="V31" s="119"/>
      <c r="W31" s="90"/>
      <c r="X31" s="90"/>
      <c r="Y31" s="98"/>
      <c r="Z31" s="114"/>
      <c r="AA31" s="127"/>
      <c r="AB31" s="127"/>
      <c r="AC31" s="119"/>
      <c r="AD31" s="90"/>
      <c r="AE31" s="90"/>
      <c r="AF31" s="127"/>
      <c r="AG31" s="119"/>
      <c r="AH31" s="90"/>
      <c r="AI31" s="127"/>
      <c r="AJ31" s="98"/>
      <c r="AK31" s="114"/>
      <c r="AL31" s="127"/>
      <c r="AM31" s="127"/>
      <c r="AN31" s="119"/>
      <c r="AO31" s="90"/>
      <c r="AP31" s="90"/>
      <c r="AQ31" s="90"/>
      <c r="AR31" s="119"/>
      <c r="AS31" s="90"/>
      <c r="AT31" s="90"/>
      <c r="AU31" s="98"/>
      <c r="AV31" s="114"/>
      <c r="AW31" s="127"/>
      <c r="AX31" s="127"/>
      <c r="AY31" s="119"/>
      <c r="AZ31" s="90"/>
      <c r="BA31" s="90"/>
      <c r="BB31" s="90"/>
      <c r="BC31" s="119"/>
      <c r="BD31" s="90"/>
      <c r="BE31" s="90"/>
      <c r="BF31" s="98"/>
      <c r="BG31" s="104"/>
      <c r="BH31" s="90"/>
      <c r="BI31" s="90"/>
      <c r="BJ31" s="90"/>
      <c r="BK31" s="91"/>
      <c r="BL31" s="69"/>
      <c r="BM31" s="56">
        <v>1</v>
      </c>
      <c r="BN31">
        <f t="shared" si="2"/>
        <v>0</v>
      </c>
      <c r="BO31">
        <f t="shared" si="3"/>
        <v>0</v>
      </c>
      <c r="BP31">
        <f t="shared" si="4"/>
        <v>0</v>
      </c>
      <c r="BQ31">
        <f t="shared" si="5"/>
        <v>0</v>
      </c>
    </row>
    <row r="32" spans="1:69">
      <c r="A32" s="41">
        <f>IF(ISBLANK(名簿!A31),"",名簿!A31)</f>
        <v>30</v>
      </c>
      <c r="B32" s="42">
        <f t="shared" si="0"/>
        <v>0</v>
      </c>
      <c r="C32" s="43">
        <f t="shared" si="1"/>
        <v>0</v>
      </c>
      <c r="D32" s="110"/>
      <c r="E32" s="128"/>
      <c r="F32" s="128"/>
      <c r="G32" s="120"/>
      <c r="H32" s="92"/>
      <c r="I32" s="92"/>
      <c r="J32" s="92"/>
      <c r="K32" s="120"/>
      <c r="L32" s="92"/>
      <c r="M32" s="92"/>
      <c r="N32" s="99"/>
      <c r="O32" s="115"/>
      <c r="P32" s="128"/>
      <c r="Q32" s="128"/>
      <c r="R32" s="120"/>
      <c r="S32" s="92"/>
      <c r="T32" s="92"/>
      <c r="U32" s="92"/>
      <c r="V32" s="120"/>
      <c r="W32" s="92"/>
      <c r="X32" s="92"/>
      <c r="Y32" s="99"/>
      <c r="Z32" s="115"/>
      <c r="AA32" s="128"/>
      <c r="AB32" s="128"/>
      <c r="AC32" s="120"/>
      <c r="AD32" s="92"/>
      <c r="AE32" s="92"/>
      <c r="AF32" s="128"/>
      <c r="AG32" s="120"/>
      <c r="AH32" s="92"/>
      <c r="AI32" s="128"/>
      <c r="AJ32" s="99"/>
      <c r="AK32" s="115"/>
      <c r="AL32" s="128"/>
      <c r="AM32" s="128"/>
      <c r="AN32" s="120"/>
      <c r="AO32" s="92"/>
      <c r="AP32" s="92"/>
      <c r="AQ32" s="92"/>
      <c r="AR32" s="120"/>
      <c r="AS32" s="92"/>
      <c r="AT32" s="92"/>
      <c r="AU32" s="99"/>
      <c r="AV32" s="115"/>
      <c r="AW32" s="128"/>
      <c r="AX32" s="128"/>
      <c r="AY32" s="120"/>
      <c r="AZ32" s="92"/>
      <c r="BA32" s="92"/>
      <c r="BB32" s="92"/>
      <c r="BC32" s="120"/>
      <c r="BD32" s="92"/>
      <c r="BE32" s="92"/>
      <c r="BF32" s="99"/>
      <c r="BG32" s="105"/>
      <c r="BH32" s="92"/>
      <c r="BI32" s="92"/>
      <c r="BJ32" s="92"/>
      <c r="BK32" s="93"/>
      <c r="BL32" s="69"/>
      <c r="BM32" s="56">
        <v>1</v>
      </c>
      <c r="BN32">
        <f t="shared" si="2"/>
        <v>0</v>
      </c>
      <c r="BO32">
        <f t="shared" si="3"/>
        <v>0</v>
      </c>
      <c r="BP32">
        <f t="shared" si="4"/>
        <v>0</v>
      </c>
      <c r="BQ32">
        <f t="shared" si="5"/>
        <v>0</v>
      </c>
    </row>
    <row r="33" spans="1:69">
      <c r="A33" s="44">
        <f>IF(ISBLANK(名簿!A32),"",名簿!A32)</f>
        <v>31</v>
      </c>
      <c r="B33" s="45">
        <f t="shared" si="0"/>
        <v>0</v>
      </c>
      <c r="C33" s="46">
        <f t="shared" si="1"/>
        <v>0</v>
      </c>
      <c r="D33" s="111"/>
      <c r="E33" s="129"/>
      <c r="F33" s="129"/>
      <c r="G33" s="121"/>
      <c r="H33" s="94"/>
      <c r="I33" s="94"/>
      <c r="J33" s="94"/>
      <c r="K33" s="121"/>
      <c r="L33" s="94"/>
      <c r="M33" s="94"/>
      <c r="N33" s="100"/>
      <c r="O33" s="116"/>
      <c r="P33" s="129"/>
      <c r="Q33" s="129"/>
      <c r="R33" s="121"/>
      <c r="S33" s="94"/>
      <c r="T33" s="94"/>
      <c r="U33" s="94"/>
      <c r="V33" s="121"/>
      <c r="W33" s="94"/>
      <c r="X33" s="94"/>
      <c r="Y33" s="100"/>
      <c r="Z33" s="116"/>
      <c r="AA33" s="129"/>
      <c r="AB33" s="129"/>
      <c r="AC33" s="121"/>
      <c r="AD33" s="94"/>
      <c r="AE33" s="94"/>
      <c r="AF33" s="129"/>
      <c r="AG33" s="121"/>
      <c r="AH33" s="94"/>
      <c r="AI33" s="129"/>
      <c r="AJ33" s="100"/>
      <c r="AK33" s="116"/>
      <c r="AL33" s="129"/>
      <c r="AM33" s="129"/>
      <c r="AN33" s="121"/>
      <c r="AO33" s="94"/>
      <c r="AP33" s="94"/>
      <c r="AQ33" s="94"/>
      <c r="AR33" s="121"/>
      <c r="AS33" s="94"/>
      <c r="AT33" s="94"/>
      <c r="AU33" s="100"/>
      <c r="AV33" s="116"/>
      <c r="AW33" s="129"/>
      <c r="AX33" s="129"/>
      <c r="AY33" s="121"/>
      <c r="AZ33" s="94"/>
      <c r="BA33" s="94"/>
      <c r="BB33" s="94"/>
      <c r="BC33" s="121"/>
      <c r="BD33" s="94"/>
      <c r="BE33" s="94"/>
      <c r="BF33" s="100"/>
      <c r="BG33" s="106"/>
      <c r="BH33" s="94"/>
      <c r="BI33" s="94"/>
      <c r="BJ33" s="94"/>
      <c r="BK33" s="95"/>
      <c r="BL33" s="69"/>
      <c r="BM33" s="56">
        <v>1</v>
      </c>
      <c r="BN33">
        <f t="shared" si="2"/>
        <v>0</v>
      </c>
      <c r="BO33">
        <f t="shared" si="3"/>
        <v>0</v>
      </c>
      <c r="BP33">
        <f t="shared" si="4"/>
        <v>0</v>
      </c>
      <c r="BQ33">
        <f t="shared" si="5"/>
        <v>0</v>
      </c>
    </row>
    <row r="34" spans="1:69">
      <c r="A34" s="38">
        <f>IF(ISBLANK(名簿!A33),"",名簿!A33)</f>
        <v>32</v>
      </c>
      <c r="B34" s="39">
        <f t="shared" si="0"/>
        <v>0</v>
      </c>
      <c r="C34" s="40">
        <f t="shared" si="1"/>
        <v>0</v>
      </c>
      <c r="D34" s="109"/>
      <c r="E34" s="127"/>
      <c r="F34" s="127"/>
      <c r="G34" s="119"/>
      <c r="H34" s="90"/>
      <c r="I34" s="90"/>
      <c r="J34" s="90"/>
      <c r="K34" s="119"/>
      <c r="L34" s="90"/>
      <c r="M34" s="90"/>
      <c r="N34" s="98"/>
      <c r="O34" s="114"/>
      <c r="P34" s="127"/>
      <c r="Q34" s="127"/>
      <c r="R34" s="119"/>
      <c r="S34" s="90"/>
      <c r="T34" s="90"/>
      <c r="U34" s="90"/>
      <c r="V34" s="119"/>
      <c r="W34" s="90"/>
      <c r="X34" s="90"/>
      <c r="Y34" s="98"/>
      <c r="Z34" s="114"/>
      <c r="AA34" s="127"/>
      <c r="AB34" s="127"/>
      <c r="AC34" s="119"/>
      <c r="AD34" s="90"/>
      <c r="AE34" s="90"/>
      <c r="AF34" s="127"/>
      <c r="AG34" s="119"/>
      <c r="AH34" s="90"/>
      <c r="AI34" s="127"/>
      <c r="AJ34" s="98"/>
      <c r="AK34" s="114"/>
      <c r="AL34" s="127"/>
      <c r="AM34" s="127"/>
      <c r="AN34" s="119"/>
      <c r="AO34" s="90"/>
      <c r="AP34" s="90"/>
      <c r="AQ34" s="90"/>
      <c r="AR34" s="119"/>
      <c r="AS34" s="90"/>
      <c r="AT34" s="90"/>
      <c r="AU34" s="98"/>
      <c r="AV34" s="114"/>
      <c r="AW34" s="127"/>
      <c r="AX34" s="127"/>
      <c r="AY34" s="119"/>
      <c r="AZ34" s="90"/>
      <c r="BA34" s="90"/>
      <c r="BB34" s="90"/>
      <c r="BC34" s="119"/>
      <c r="BD34" s="90"/>
      <c r="BE34" s="90"/>
      <c r="BF34" s="98"/>
      <c r="BG34" s="104"/>
      <c r="BH34" s="90"/>
      <c r="BI34" s="90"/>
      <c r="BJ34" s="90"/>
      <c r="BK34" s="91"/>
      <c r="BL34" s="69"/>
      <c r="BM34" s="56">
        <v>1</v>
      </c>
      <c r="BN34">
        <f t="shared" si="2"/>
        <v>0</v>
      </c>
      <c r="BO34">
        <f t="shared" si="3"/>
        <v>0</v>
      </c>
      <c r="BP34">
        <f t="shared" si="4"/>
        <v>0</v>
      </c>
      <c r="BQ34">
        <f t="shared" si="5"/>
        <v>0</v>
      </c>
    </row>
    <row r="35" spans="1:69">
      <c r="A35" s="38">
        <f>IF(ISBLANK(名簿!A34),"",名簿!A34)</f>
        <v>33</v>
      </c>
      <c r="B35" s="39">
        <f t="shared" ref="B35:B52" si="6">IF(A35="","",VLOOKUP(A35,氏名,2,0))</f>
        <v>0</v>
      </c>
      <c r="C35" s="40">
        <f t="shared" ref="C35:C52" si="7">IF(A35="","",VLOOKUP(A35,氏名,3,0))</f>
        <v>0</v>
      </c>
      <c r="D35" s="109"/>
      <c r="E35" s="127"/>
      <c r="F35" s="127"/>
      <c r="G35" s="119"/>
      <c r="H35" s="90"/>
      <c r="I35" s="90"/>
      <c r="J35" s="90"/>
      <c r="K35" s="119"/>
      <c r="L35" s="90"/>
      <c r="M35" s="90"/>
      <c r="N35" s="98"/>
      <c r="O35" s="114"/>
      <c r="P35" s="127"/>
      <c r="Q35" s="127"/>
      <c r="R35" s="119"/>
      <c r="S35" s="90"/>
      <c r="T35" s="90"/>
      <c r="U35" s="90"/>
      <c r="V35" s="119"/>
      <c r="W35" s="90"/>
      <c r="X35" s="90"/>
      <c r="Y35" s="98"/>
      <c r="Z35" s="114"/>
      <c r="AA35" s="127"/>
      <c r="AB35" s="127"/>
      <c r="AC35" s="119"/>
      <c r="AD35" s="90"/>
      <c r="AE35" s="90"/>
      <c r="AF35" s="127"/>
      <c r="AG35" s="119"/>
      <c r="AH35" s="90"/>
      <c r="AI35" s="127"/>
      <c r="AJ35" s="98"/>
      <c r="AK35" s="114"/>
      <c r="AL35" s="127"/>
      <c r="AM35" s="127"/>
      <c r="AN35" s="119"/>
      <c r="AO35" s="90"/>
      <c r="AP35" s="90"/>
      <c r="AQ35" s="90"/>
      <c r="AR35" s="119"/>
      <c r="AS35" s="90"/>
      <c r="AT35" s="90"/>
      <c r="AU35" s="98"/>
      <c r="AV35" s="114"/>
      <c r="AW35" s="127"/>
      <c r="AX35" s="127"/>
      <c r="AY35" s="119"/>
      <c r="AZ35" s="90"/>
      <c r="BA35" s="90"/>
      <c r="BB35" s="90"/>
      <c r="BC35" s="119"/>
      <c r="BD35" s="90"/>
      <c r="BE35" s="90"/>
      <c r="BF35" s="98"/>
      <c r="BG35" s="104"/>
      <c r="BH35" s="90"/>
      <c r="BI35" s="90"/>
      <c r="BJ35" s="90"/>
      <c r="BK35" s="91"/>
      <c r="BL35" s="69"/>
      <c r="BM35" s="56">
        <v>1</v>
      </c>
      <c r="BN35">
        <f t="shared" ref="BN35:BN52" si="8">COUNTIF($D35:$BK35,"○")</f>
        <v>0</v>
      </c>
      <c r="BO35">
        <f t="shared" ref="BO35:BO52" si="9">COUNTIF($D35:$BK35,"◎")</f>
        <v>0</v>
      </c>
      <c r="BP35">
        <f t="shared" ref="BP35:BP52" si="10">COUNTIF($D35:$BK35,"△")</f>
        <v>0</v>
      </c>
      <c r="BQ35">
        <f t="shared" si="5"/>
        <v>0</v>
      </c>
    </row>
    <row r="36" spans="1:69">
      <c r="A36" s="38">
        <f>IF(ISBLANK(名簿!A35),"",名簿!A35)</f>
        <v>34</v>
      </c>
      <c r="B36" s="39">
        <f t="shared" si="6"/>
        <v>0</v>
      </c>
      <c r="C36" s="40">
        <f t="shared" si="7"/>
        <v>0</v>
      </c>
      <c r="D36" s="109"/>
      <c r="E36" s="127"/>
      <c r="F36" s="127"/>
      <c r="G36" s="119"/>
      <c r="H36" s="90"/>
      <c r="I36" s="90"/>
      <c r="J36" s="90"/>
      <c r="K36" s="119"/>
      <c r="L36" s="90"/>
      <c r="M36" s="90"/>
      <c r="N36" s="98"/>
      <c r="O36" s="114"/>
      <c r="P36" s="127"/>
      <c r="Q36" s="127"/>
      <c r="R36" s="119"/>
      <c r="S36" s="90"/>
      <c r="T36" s="90"/>
      <c r="U36" s="90"/>
      <c r="V36" s="119"/>
      <c r="W36" s="90"/>
      <c r="X36" s="90"/>
      <c r="Y36" s="98"/>
      <c r="Z36" s="114"/>
      <c r="AA36" s="127"/>
      <c r="AB36" s="127"/>
      <c r="AC36" s="119"/>
      <c r="AD36" s="90"/>
      <c r="AE36" s="90"/>
      <c r="AF36" s="127"/>
      <c r="AG36" s="119"/>
      <c r="AH36" s="90"/>
      <c r="AI36" s="127"/>
      <c r="AJ36" s="98"/>
      <c r="AK36" s="114"/>
      <c r="AL36" s="127"/>
      <c r="AM36" s="127"/>
      <c r="AN36" s="119"/>
      <c r="AO36" s="90"/>
      <c r="AP36" s="90"/>
      <c r="AQ36" s="90"/>
      <c r="AR36" s="119"/>
      <c r="AS36" s="90"/>
      <c r="AT36" s="90"/>
      <c r="AU36" s="98"/>
      <c r="AV36" s="114"/>
      <c r="AW36" s="127"/>
      <c r="AX36" s="127"/>
      <c r="AY36" s="119"/>
      <c r="AZ36" s="90"/>
      <c r="BA36" s="90"/>
      <c r="BB36" s="90"/>
      <c r="BC36" s="119"/>
      <c r="BD36" s="90"/>
      <c r="BE36" s="90"/>
      <c r="BF36" s="98"/>
      <c r="BG36" s="104"/>
      <c r="BH36" s="90"/>
      <c r="BI36" s="90"/>
      <c r="BJ36" s="90"/>
      <c r="BK36" s="91"/>
      <c r="BL36" s="69"/>
      <c r="BM36" s="56">
        <v>1</v>
      </c>
      <c r="BN36">
        <f t="shared" si="8"/>
        <v>0</v>
      </c>
      <c r="BO36">
        <f t="shared" si="9"/>
        <v>0</v>
      </c>
      <c r="BP36">
        <f t="shared" si="10"/>
        <v>0</v>
      </c>
      <c r="BQ36">
        <f t="shared" si="5"/>
        <v>0</v>
      </c>
    </row>
    <row r="37" spans="1:69">
      <c r="A37" s="41">
        <f>IF(ISBLANK(名簿!A36),"",名簿!A36)</f>
        <v>35</v>
      </c>
      <c r="B37" s="42">
        <f t="shared" si="6"/>
        <v>0</v>
      </c>
      <c r="C37" s="43">
        <f t="shared" si="7"/>
        <v>0</v>
      </c>
      <c r="D37" s="110"/>
      <c r="E37" s="128"/>
      <c r="F37" s="128"/>
      <c r="G37" s="120"/>
      <c r="H37" s="92"/>
      <c r="I37" s="92"/>
      <c r="J37" s="92"/>
      <c r="K37" s="120"/>
      <c r="L37" s="92"/>
      <c r="M37" s="92"/>
      <c r="N37" s="99"/>
      <c r="O37" s="115"/>
      <c r="P37" s="128"/>
      <c r="Q37" s="128"/>
      <c r="R37" s="120"/>
      <c r="S37" s="92"/>
      <c r="T37" s="92"/>
      <c r="U37" s="92"/>
      <c r="V37" s="120"/>
      <c r="W37" s="92"/>
      <c r="X37" s="92"/>
      <c r="Y37" s="99"/>
      <c r="Z37" s="115"/>
      <c r="AA37" s="128"/>
      <c r="AB37" s="128"/>
      <c r="AC37" s="120"/>
      <c r="AD37" s="92"/>
      <c r="AE37" s="92"/>
      <c r="AF37" s="128"/>
      <c r="AG37" s="120"/>
      <c r="AH37" s="92"/>
      <c r="AI37" s="128"/>
      <c r="AJ37" s="99"/>
      <c r="AK37" s="115"/>
      <c r="AL37" s="128"/>
      <c r="AM37" s="128"/>
      <c r="AN37" s="120"/>
      <c r="AO37" s="92"/>
      <c r="AP37" s="92"/>
      <c r="AQ37" s="92"/>
      <c r="AR37" s="120"/>
      <c r="AS37" s="92"/>
      <c r="AT37" s="92"/>
      <c r="AU37" s="99"/>
      <c r="AV37" s="115"/>
      <c r="AW37" s="128"/>
      <c r="AX37" s="128"/>
      <c r="AY37" s="120"/>
      <c r="AZ37" s="92"/>
      <c r="BA37" s="92"/>
      <c r="BB37" s="92"/>
      <c r="BC37" s="120"/>
      <c r="BD37" s="92"/>
      <c r="BE37" s="92"/>
      <c r="BF37" s="99"/>
      <c r="BG37" s="105"/>
      <c r="BH37" s="92"/>
      <c r="BI37" s="92"/>
      <c r="BJ37" s="92"/>
      <c r="BK37" s="93"/>
      <c r="BL37" s="69"/>
      <c r="BM37" s="56">
        <v>1</v>
      </c>
      <c r="BN37">
        <f t="shared" si="8"/>
        <v>0</v>
      </c>
      <c r="BO37">
        <f t="shared" si="9"/>
        <v>0</v>
      </c>
      <c r="BP37">
        <f t="shared" si="10"/>
        <v>0</v>
      </c>
      <c r="BQ37">
        <f t="shared" si="5"/>
        <v>0</v>
      </c>
    </row>
    <row r="38" spans="1:69">
      <c r="A38" s="44" t="str">
        <f>IF(ISBLANK(名簿!A37),"",名簿!A37)</f>
        <v/>
      </c>
      <c r="B38" s="45" t="str">
        <f t="shared" si="6"/>
        <v/>
      </c>
      <c r="C38" s="46" t="str">
        <f t="shared" si="7"/>
        <v/>
      </c>
      <c r="D38" s="132"/>
      <c r="E38" s="129"/>
      <c r="F38" s="129"/>
      <c r="G38" s="129"/>
      <c r="H38" s="94"/>
      <c r="I38" s="94"/>
      <c r="J38" s="94"/>
      <c r="K38" s="129"/>
      <c r="L38" s="94"/>
      <c r="M38" s="94"/>
      <c r="N38" s="100"/>
      <c r="O38" s="124"/>
      <c r="P38" s="129"/>
      <c r="Q38" s="129"/>
      <c r="R38" s="129"/>
      <c r="S38" s="94"/>
      <c r="T38" s="94"/>
      <c r="U38" s="94"/>
      <c r="V38" s="129"/>
      <c r="W38" s="94"/>
      <c r="X38" s="94"/>
      <c r="Y38" s="100"/>
      <c r="Z38" s="124"/>
      <c r="AA38" s="129"/>
      <c r="AB38" s="129"/>
      <c r="AC38" s="129"/>
      <c r="AD38" s="94"/>
      <c r="AE38" s="94"/>
      <c r="AF38" s="129"/>
      <c r="AG38" s="129"/>
      <c r="AH38" s="94"/>
      <c r="AI38" s="129"/>
      <c r="AJ38" s="100"/>
      <c r="AK38" s="124"/>
      <c r="AL38" s="129"/>
      <c r="AM38" s="129"/>
      <c r="AN38" s="129"/>
      <c r="AO38" s="94"/>
      <c r="AP38" s="94"/>
      <c r="AQ38" s="94"/>
      <c r="AR38" s="129"/>
      <c r="AS38" s="94"/>
      <c r="AT38" s="94"/>
      <c r="AU38" s="100"/>
      <c r="AV38" s="124"/>
      <c r="AW38" s="129"/>
      <c r="AX38" s="129"/>
      <c r="AY38" s="129"/>
      <c r="AZ38" s="94"/>
      <c r="BA38" s="94"/>
      <c r="BB38" s="94"/>
      <c r="BC38" s="129"/>
      <c r="BD38" s="94"/>
      <c r="BE38" s="94"/>
      <c r="BF38" s="100"/>
      <c r="BG38" s="106"/>
      <c r="BH38" s="94"/>
      <c r="BI38" s="94"/>
      <c r="BJ38" s="94"/>
      <c r="BK38" s="95"/>
      <c r="BL38" s="69"/>
      <c r="BM38" s="56"/>
      <c r="BN38">
        <f t="shared" si="8"/>
        <v>0</v>
      </c>
      <c r="BO38">
        <f t="shared" si="9"/>
        <v>0</v>
      </c>
      <c r="BP38">
        <f t="shared" si="10"/>
        <v>0</v>
      </c>
      <c r="BQ38">
        <f t="shared" si="5"/>
        <v>0</v>
      </c>
    </row>
    <row r="39" spans="1:69">
      <c r="A39" s="38" t="str">
        <f>IF(ISBLANK(名簿!A38),"",名簿!A38)</f>
        <v/>
      </c>
      <c r="B39" s="39" t="str">
        <f t="shared" si="6"/>
        <v/>
      </c>
      <c r="C39" s="40" t="str">
        <f t="shared" si="7"/>
        <v/>
      </c>
      <c r="D39" s="130"/>
      <c r="E39" s="127"/>
      <c r="F39" s="127"/>
      <c r="G39" s="127"/>
      <c r="H39" s="90"/>
      <c r="I39" s="90"/>
      <c r="J39" s="90"/>
      <c r="K39" s="127"/>
      <c r="L39" s="90"/>
      <c r="M39" s="90"/>
      <c r="N39" s="98"/>
      <c r="O39" s="122"/>
      <c r="P39" s="127"/>
      <c r="Q39" s="127"/>
      <c r="R39" s="127"/>
      <c r="S39" s="90"/>
      <c r="T39" s="90"/>
      <c r="U39" s="90"/>
      <c r="V39" s="127"/>
      <c r="W39" s="90"/>
      <c r="X39" s="90"/>
      <c r="Y39" s="98"/>
      <c r="Z39" s="122"/>
      <c r="AA39" s="127"/>
      <c r="AB39" s="127"/>
      <c r="AC39" s="127"/>
      <c r="AD39" s="90"/>
      <c r="AE39" s="90"/>
      <c r="AF39" s="127"/>
      <c r="AG39" s="127"/>
      <c r="AH39" s="90"/>
      <c r="AI39" s="127"/>
      <c r="AJ39" s="98"/>
      <c r="AK39" s="122"/>
      <c r="AL39" s="127"/>
      <c r="AM39" s="127"/>
      <c r="AN39" s="127"/>
      <c r="AO39" s="90"/>
      <c r="AP39" s="90"/>
      <c r="AQ39" s="90"/>
      <c r="AR39" s="127"/>
      <c r="AS39" s="90"/>
      <c r="AT39" s="90"/>
      <c r="AU39" s="98"/>
      <c r="AV39" s="122"/>
      <c r="AW39" s="127"/>
      <c r="AX39" s="127"/>
      <c r="AY39" s="127"/>
      <c r="AZ39" s="90"/>
      <c r="BA39" s="90"/>
      <c r="BB39" s="90"/>
      <c r="BC39" s="127"/>
      <c r="BD39" s="90"/>
      <c r="BE39" s="90"/>
      <c r="BF39" s="98"/>
      <c r="BG39" s="104"/>
      <c r="BH39" s="90"/>
      <c r="BI39" s="90"/>
      <c r="BJ39" s="90"/>
      <c r="BK39" s="91"/>
      <c r="BL39" s="69"/>
      <c r="BM39" s="56"/>
      <c r="BN39">
        <f t="shared" si="8"/>
        <v>0</v>
      </c>
      <c r="BO39">
        <f t="shared" si="9"/>
        <v>0</v>
      </c>
      <c r="BP39">
        <f t="shared" si="10"/>
        <v>0</v>
      </c>
      <c r="BQ39">
        <f t="shared" si="5"/>
        <v>0</v>
      </c>
    </row>
    <row r="40" spans="1:69">
      <c r="A40" s="38" t="str">
        <f>IF(ISBLANK(名簿!A39),"",名簿!A39)</f>
        <v/>
      </c>
      <c r="B40" s="39" t="str">
        <f t="shared" si="6"/>
        <v/>
      </c>
      <c r="C40" s="40" t="str">
        <f t="shared" si="7"/>
        <v/>
      </c>
      <c r="D40" s="130"/>
      <c r="E40" s="127"/>
      <c r="F40" s="127"/>
      <c r="G40" s="127"/>
      <c r="H40" s="90"/>
      <c r="I40" s="90"/>
      <c r="J40" s="90"/>
      <c r="K40" s="127"/>
      <c r="L40" s="90"/>
      <c r="M40" s="90"/>
      <c r="N40" s="98"/>
      <c r="O40" s="122"/>
      <c r="P40" s="127"/>
      <c r="Q40" s="127"/>
      <c r="R40" s="127"/>
      <c r="S40" s="90"/>
      <c r="T40" s="90"/>
      <c r="U40" s="90"/>
      <c r="V40" s="127"/>
      <c r="W40" s="90"/>
      <c r="X40" s="90"/>
      <c r="Y40" s="98"/>
      <c r="Z40" s="122"/>
      <c r="AA40" s="127"/>
      <c r="AB40" s="127"/>
      <c r="AC40" s="127"/>
      <c r="AD40" s="90"/>
      <c r="AE40" s="90"/>
      <c r="AF40" s="127"/>
      <c r="AG40" s="127"/>
      <c r="AH40" s="90"/>
      <c r="AI40" s="127"/>
      <c r="AJ40" s="98"/>
      <c r="AK40" s="122"/>
      <c r="AL40" s="127"/>
      <c r="AM40" s="127"/>
      <c r="AN40" s="127"/>
      <c r="AO40" s="90"/>
      <c r="AP40" s="90"/>
      <c r="AQ40" s="90"/>
      <c r="AR40" s="127"/>
      <c r="AS40" s="90"/>
      <c r="AT40" s="90"/>
      <c r="AU40" s="98"/>
      <c r="AV40" s="122"/>
      <c r="AW40" s="127"/>
      <c r="AX40" s="127"/>
      <c r="AY40" s="127"/>
      <c r="AZ40" s="90"/>
      <c r="BA40" s="90"/>
      <c r="BB40" s="90"/>
      <c r="BC40" s="127"/>
      <c r="BD40" s="90"/>
      <c r="BE40" s="90"/>
      <c r="BF40" s="98"/>
      <c r="BG40" s="104"/>
      <c r="BH40" s="90"/>
      <c r="BI40" s="90"/>
      <c r="BJ40" s="90"/>
      <c r="BK40" s="91"/>
      <c r="BL40" s="69"/>
      <c r="BM40" s="56"/>
      <c r="BN40">
        <f t="shared" si="8"/>
        <v>0</v>
      </c>
      <c r="BO40">
        <f t="shared" si="9"/>
        <v>0</v>
      </c>
      <c r="BP40">
        <f t="shared" si="10"/>
        <v>0</v>
      </c>
      <c r="BQ40">
        <f t="shared" si="5"/>
        <v>0</v>
      </c>
    </row>
    <row r="41" spans="1:69">
      <c r="A41" s="38" t="str">
        <f>IF(ISBLANK(名簿!A40),"",名簿!A40)</f>
        <v/>
      </c>
      <c r="B41" s="39" t="str">
        <f t="shared" si="6"/>
        <v/>
      </c>
      <c r="C41" s="40" t="str">
        <f t="shared" si="7"/>
        <v/>
      </c>
      <c r="D41" s="130"/>
      <c r="E41" s="127"/>
      <c r="F41" s="127"/>
      <c r="G41" s="127"/>
      <c r="H41" s="90"/>
      <c r="I41" s="90"/>
      <c r="J41" s="90"/>
      <c r="K41" s="127"/>
      <c r="L41" s="90"/>
      <c r="M41" s="90"/>
      <c r="N41" s="98"/>
      <c r="O41" s="122"/>
      <c r="P41" s="127"/>
      <c r="Q41" s="127"/>
      <c r="R41" s="127"/>
      <c r="S41" s="90"/>
      <c r="T41" s="90"/>
      <c r="U41" s="90"/>
      <c r="V41" s="127"/>
      <c r="W41" s="90"/>
      <c r="X41" s="90"/>
      <c r="Y41" s="98"/>
      <c r="Z41" s="122"/>
      <c r="AA41" s="127"/>
      <c r="AB41" s="127"/>
      <c r="AC41" s="127"/>
      <c r="AD41" s="90"/>
      <c r="AE41" s="90"/>
      <c r="AF41" s="127"/>
      <c r="AG41" s="127"/>
      <c r="AH41" s="90"/>
      <c r="AI41" s="127"/>
      <c r="AJ41" s="98"/>
      <c r="AK41" s="122"/>
      <c r="AL41" s="127"/>
      <c r="AM41" s="127"/>
      <c r="AN41" s="127"/>
      <c r="AO41" s="90"/>
      <c r="AP41" s="90"/>
      <c r="AQ41" s="90"/>
      <c r="AR41" s="127"/>
      <c r="AS41" s="90"/>
      <c r="AT41" s="90"/>
      <c r="AU41" s="98"/>
      <c r="AV41" s="122"/>
      <c r="AW41" s="127"/>
      <c r="AX41" s="127"/>
      <c r="AY41" s="127"/>
      <c r="AZ41" s="90"/>
      <c r="BA41" s="90"/>
      <c r="BB41" s="90"/>
      <c r="BC41" s="127"/>
      <c r="BD41" s="90"/>
      <c r="BE41" s="90"/>
      <c r="BF41" s="98"/>
      <c r="BG41" s="104"/>
      <c r="BH41" s="90"/>
      <c r="BI41" s="90"/>
      <c r="BJ41" s="90"/>
      <c r="BK41" s="91"/>
      <c r="BL41" s="69"/>
      <c r="BM41" s="56"/>
      <c r="BN41">
        <f t="shared" si="8"/>
        <v>0</v>
      </c>
      <c r="BO41">
        <f t="shared" si="9"/>
        <v>0</v>
      </c>
      <c r="BP41">
        <f t="shared" si="10"/>
        <v>0</v>
      </c>
      <c r="BQ41">
        <f t="shared" si="5"/>
        <v>0</v>
      </c>
    </row>
    <row r="42" spans="1:69">
      <c r="A42" s="41" t="str">
        <f>IF(ISBLANK(名簿!A41),"",名簿!A41)</f>
        <v/>
      </c>
      <c r="B42" s="42" t="str">
        <f t="shared" si="6"/>
        <v/>
      </c>
      <c r="C42" s="43" t="str">
        <f t="shared" si="7"/>
        <v/>
      </c>
      <c r="D42" s="131"/>
      <c r="E42" s="128"/>
      <c r="F42" s="128"/>
      <c r="G42" s="128"/>
      <c r="H42" s="92"/>
      <c r="I42" s="92"/>
      <c r="J42" s="92"/>
      <c r="K42" s="128"/>
      <c r="L42" s="92"/>
      <c r="M42" s="92"/>
      <c r="N42" s="99"/>
      <c r="O42" s="123"/>
      <c r="P42" s="128"/>
      <c r="Q42" s="128"/>
      <c r="R42" s="128"/>
      <c r="S42" s="92"/>
      <c r="T42" s="92"/>
      <c r="U42" s="92"/>
      <c r="V42" s="128"/>
      <c r="W42" s="92"/>
      <c r="X42" s="92"/>
      <c r="Y42" s="99"/>
      <c r="Z42" s="123"/>
      <c r="AA42" s="128"/>
      <c r="AB42" s="128"/>
      <c r="AC42" s="128"/>
      <c r="AD42" s="92"/>
      <c r="AE42" s="92"/>
      <c r="AF42" s="128"/>
      <c r="AG42" s="128"/>
      <c r="AH42" s="92"/>
      <c r="AI42" s="128"/>
      <c r="AJ42" s="99"/>
      <c r="AK42" s="123"/>
      <c r="AL42" s="128"/>
      <c r="AM42" s="128"/>
      <c r="AN42" s="128"/>
      <c r="AO42" s="92"/>
      <c r="AP42" s="92"/>
      <c r="AQ42" s="92"/>
      <c r="AR42" s="128"/>
      <c r="AS42" s="92"/>
      <c r="AT42" s="92"/>
      <c r="AU42" s="99"/>
      <c r="AV42" s="123"/>
      <c r="AW42" s="128"/>
      <c r="AX42" s="128"/>
      <c r="AY42" s="128"/>
      <c r="AZ42" s="92"/>
      <c r="BA42" s="92"/>
      <c r="BB42" s="92"/>
      <c r="BC42" s="128"/>
      <c r="BD42" s="92"/>
      <c r="BE42" s="92"/>
      <c r="BF42" s="99"/>
      <c r="BG42" s="105"/>
      <c r="BH42" s="92"/>
      <c r="BI42" s="92"/>
      <c r="BJ42" s="92"/>
      <c r="BK42" s="93"/>
      <c r="BL42" s="69"/>
      <c r="BM42" s="56"/>
      <c r="BN42">
        <f t="shared" si="8"/>
        <v>0</v>
      </c>
      <c r="BO42">
        <f t="shared" si="9"/>
        <v>0</v>
      </c>
      <c r="BP42">
        <f t="shared" si="10"/>
        <v>0</v>
      </c>
      <c r="BQ42">
        <f t="shared" si="5"/>
        <v>0</v>
      </c>
    </row>
    <row r="43" spans="1:69">
      <c r="A43" s="44" t="str">
        <f>IF(ISBLANK(名簿!A42),"",名簿!A42)</f>
        <v/>
      </c>
      <c r="B43" s="45" t="str">
        <f t="shared" si="6"/>
        <v/>
      </c>
      <c r="C43" s="46" t="str">
        <f t="shared" si="7"/>
        <v/>
      </c>
      <c r="D43" s="132"/>
      <c r="E43" s="129"/>
      <c r="F43" s="129"/>
      <c r="G43" s="129"/>
      <c r="H43" s="94"/>
      <c r="I43" s="94"/>
      <c r="J43" s="94"/>
      <c r="K43" s="129"/>
      <c r="L43" s="94"/>
      <c r="M43" s="94"/>
      <c r="N43" s="100"/>
      <c r="O43" s="124"/>
      <c r="P43" s="129"/>
      <c r="Q43" s="129"/>
      <c r="R43" s="129"/>
      <c r="S43" s="94"/>
      <c r="T43" s="94"/>
      <c r="U43" s="94"/>
      <c r="V43" s="129"/>
      <c r="W43" s="94"/>
      <c r="X43" s="94"/>
      <c r="Y43" s="100"/>
      <c r="Z43" s="124"/>
      <c r="AA43" s="129"/>
      <c r="AB43" s="129"/>
      <c r="AC43" s="129"/>
      <c r="AD43" s="94"/>
      <c r="AE43" s="94"/>
      <c r="AF43" s="129"/>
      <c r="AG43" s="129"/>
      <c r="AH43" s="94"/>
      <c r="AI43" s="129"/>
      <c r="AJ43" s="100"/>
      <c r="AK43" s="124"/>
      <c r="AL43" s="129"/>
      <c r="AM43" s="129"/>
      <c r="AN43" s="129"/>
      <c r="AO43" s="94"/>
      <c r="AP43" s="94"/>
      <c r="AQ43" s="94"/>
      <c r="AR43" s="129"/>
      <c r="AS43" s="94"/>
      <c r="AT43" s="94"/>
      <c r="AU43" s="100"/>
      <c r="AV43" s="124"/>
      <c r="AW43" s="129"/>
      <c r="AX43" s="129"/>
      <c r="AY43" s="129"/>
      <c r="AZ43" s="94"/>
      <c r="BA43" s="94"/>
      <c r="BB43" s="94"/>
      <c r="BC43" s="129"/>
      <c r="BD43" s="94"/>
      <c r="BE43" s="94"/>
      <c r="BF43" s="100"/>
      <c r="BG43" s="106"/>
      <c r="BH43" s="94"/>
      <c r="BI43" s="94"/>
      <c r="BJ43" s="94"/>
      <c r="BK43" s="95"/>
      <c r="BL43" s="69"/>
      <c r="BM43" s="56"/>
      <c r="BN43">
        <f t="shared" si="8"/>
        <v>0</v>
      </c>
      <c r="BO43">
        <f t="shared" si="9"/>
        <v>0</v>
      </c>
      <c r="BP43">
        <f t="shared" si="10"/>
        <v>0</v>
      </c>
      <c r="BQ43">
        <f t="shared" si="5"/>
        <v>0</v>
      </c>
    </row>
    <row r="44" spans="1:69">
      <c r="A44" s="38" t="str">
        <f>IF(ISBLANK(名簿!A43),"",名簿!A43)</f>
        <v/>
      </c>
      <c r="B44" s="39" t="str">
        <f t="shared" si="6"/>
        <v/>
      </c>
      <c r="C44" s="40" t="str">
        <f t="shared" si="7"/>
        <v/>
      </c>
      <c r="D44" s="130"/>
      <c r="E44" s="127"/>
      <c r="F44" s="127"/>
      <c r="G44" s="127"/>
      <c r="H44" s="90"/>
      <c r="I44" s="90"/>
      <c r="J44" s="90"/>
      <c r="K44" s="127"/>
      <c r="L44" s="90"/>
      <c r="M44" s="90"/>
      <c r="N44" s="98"/>
      <c r="O44" s="122"/>
      <c r="P44" s="127"/>
      <c r="Q44" s="127"/>
      <c r="R44" s="127"/>
      <c r="S44" s="90"/>
      <c r="T44" s="90"/>
      <c r="U44" s="90"/>
      <c r="V44" s="127"/>
      <c r="W44" s="90"/>
      <c r="X44" s="90"/>
      <c r="Y44" s="98"/>
      <c r="Z44" s="122"/>
      <c r="AA44" s="127"/>
      <c r="AB44" s="127"/>
      <c r="AC44" s="127"/>
      <c r="AD44" s="90"/>
      <c r="AE44" s="90"/>
      <c r="AF44" s="127"/>
      <c r="AG44" s="127"/>
      <c r="AH44" s="90"/>
      <c r="AI44" s="127"/>
      <c r="AJ44" s="98"/>
      <c r="AK44" s="122"/>
      <c r="AL44" s="127"/>
      <c r="AM44" s="127"/>
      <c r="AN44" s="127"/>
      <c r="AO44" s="90"/>
      <c r="AP44" s="90"/>
      <c r="AQ44" s="90"/>
      <c r="AR44" s="127"/>
      <c r="AS44" s="90"/>
      <c r="AT44" s="90"/>
      <c r="AU44" s="98"/>
      <c r="AV44" s="122"/>
      <c r="AW44" s="127"/>
      <c r="AX44" s="127"/>
      <c r="AY44" s="127"/>
      <c r="AZ44" s="90"/>
      <c r="BA44" s="90"/>
      <c r="BB44" s="90"/>
      <c r="BC44" s="127"/>
      <c r="BD44" s="90"/>
      <c r="BE44" s="90"/>
      <c r="BF44" s="98"/>
      <c r="BG44" s="104"/>
      <c r="BH44" s="90"/>
      <c r="BI44" s="90"/>
      <c r="BJ44" s="90"/>
      <c r="BK44" s="91"/>
      <c r="BL44" s="69"/>
      <c r="BM44" s="56"/>
      <c r="BN44">
        <f t="shared" si="8"/>
        <v>0</v>
      </c>
      <c r="BO44">
        <f t="shared" si="9"/>
        <v>0</v>
      </c>
      <c r="BP44">
        <f t="shared" si="10"/>
        <v>0</v>
      </c>
      <c r="BQ44">
        <f t="shared" si="5"/>
        <v>0</v>
      </c>
    </row>
    <row r="45" spans="1:69">
      <c r="A45" s="38" t="str">
        <f>IF(ISBLANK(名簿!A44),"",名簿!A44)</f>
        <v/>
      </c>
      <c r="B45" s="39" t="str">
        <f t="shared" si="6"/>
        <v/>
      </c>
      <c r="C45" s="40" t="str">
        <f t="shared" si="7"/>
        <v/>
      </c>
      <c r="D45" s="130"/>
      <c r="E45" s="127"/>
      <c r="F45" s="127"/>
      <c r="G45" s="127"/>
      <c r="H45" s="90"/>
      <c r="I45" s="90"/>
      <c r="J45" s="90"/>
      <c r="K45" s="127"/>
      <c r="L45" s="90"/>
      <c r="M45" s="90"/>
      <c r="N45" s="98"/>
      <c r="O45" s="122"/>
      <c r="P45" s="127"/>
      <c r="Q45" s="127"/>
      <c r="R45" s="127"/>
      <c r="S45" s="90"/>
      <c r="T45" s="90"/>
      <c r="U45" s="90"/>
      <c r="V45" s="127"/>
      <c r="W45" s="90"/>
      <c r="X45" s="90"/>
      <c r="Y45" s="98"/>
      <c r="Z45" s="122"/>
      <c r="AA45" s="127"/>
      <c r="AB45" s="127"/>
      <c r="AC45" s="127"/>
      <c r="AD45" s="90"/>
      <c r="AE45" s="90"/>
      <c r="AF45" s="127"/>
      <c r="AG45" s="127"/>
      <c r="AH45" s="90"/>
      <c r="AI45" s="127"/>
      <c r="AJ45" s="98"/>
      <c r="AK45" s="122"/>
      <c r="AL45" s="127"/>
      <c r="AM45" s="127"/>
      <c r="AN45" s="127"/>
      <c r="AO45" s="90"/>
      <c r="AP45" s="90"/>
      <c r="AQ45" s="90"/>
      <c r="AR45" s="127"/>
      <c r="AS45" s="90"/>
      <c r="AT45" s="90"/>
      <c r="AU45" s="98"/>
      <c r="AV45" s="122"/>
      <c r="AW45" s="127"/>
      <c r="AX45" s="127"/>
      <c r="AY45" s="127"/>
      <c r="AZ45" s="90"/>
      <c r="BA45" s="90"/>
      <c r="BB45" s="90"/>
      <c r="BC45" s="127"/>
      <c r="BD45" s="90"/>
      <c r="BE45" s="90"/>
      <c r="BF45" s="98"/>
      <c r="BG45" s="104"/>
      <c r="BH45" s="90"/>
      <c r="BI45" s="90"/>
      <c r="BJ45" s="90"/>
      <c r="BK45" s="91"/>
      <c r="BL45" s="69"/>
      <c r="BM45" s="56"/>
      <c r="BN45">
        <f t="shared" si="8"/>
        <v>0</v>
      </c>
      <c r="BO45">
        <f t="shared" si="9"/>
        <v>0</v>
      </c>
      <c r="BP45">
        <f t="shared" si="10"/>
        <v>0</v>
      </c>
      <c r="BQ45">
        <f t="shared" si="5"/>
        <v>0</v>
      </c>
    </row>
    <row r="46" spans="1:69">
      <c r="A46" s="38" t="str">
        <f>IF(ISBLANK(名簿!A45),"",名簿!A45)</f>
        <v/>
      </c>
      <c r="B46" s="39" t="str">
        <f t="shared" si="6"/>
        <v/>
      </c>
      <c r="C46" s="40" t="str">
        <f t="shared" si="7"/>
        <v/>
      </c>
      <c r="D46" s="130"/>
      <c r="E46" s="127"/>
      <c r="F46" s="127"/>
      <c r="G46" s="127"/>
      <c r="H46" s="90"/>
      <c r="I46" s="90"/>
      <c r="J46" s="90"/>
      <c r="K46" s="127"/>
      <c r="L46" s="90"/>
      <c r="M46" s="90"/>
      <c r="N46" s="98"/>
      <c r="O46" s="122"/>
      <c r="P46" s="127"/>
      <c r="Q46" s="127"/>
      <c r="R46" s="127"/>
      <c r="S46" s="90"/>
      <c r="T46" s="90"/>
      <c r="U46" s="90"/>
      <c r="V46" s="127"/>
      <c r="W46" s="90"/>
      <c r="X46" s="90"/>
      <c r="Y46" s="98"/>
      <c r="Z46" s="122"/>
      <c r="AA46" s="127"/>
      <c r="AB46" s="127"/>
      <c r="AC46" s="127"/>
      <c r="AD46" s="90"/>
      <c r="AE46" s="90"/>
      <c r="AF46" s="127"/>
      <c r="AG46" s="127"/>
      <c r="AH46" s="90"/>
      <c r="AI46" s="127"/>
      <c r="AJ46" s="98"/>
      <c r="AK46" s="122"/>
      <c r="AL46" s="127"/>
      <c r="AM46" s="127"/>
      <c r="AN46" s="127"/>
      <c r="AO46" s="90"/>
      <c r="AP46" s="90"/>
      <c r="AQ46" s="90"/>
      <c r="AR46" s="127"/>
      <c r="AS46" s="90"/>
      <c r="AT46" s="90"/>
      <c r="AU46" s="98"/>
      <c r="AV46" s="122"/>
      <c r="AW46" s="127"/>
      <c r="AX46" s="127"/>
      <c r="AY46" s="127"/>
      <c r="AZ46" s="90"/>
      <c r="BA46" s="90"/>
      <c r="BB46" s="90"/>
      <c r="BC46" s="127"/>
      <c r="BD46" s="90"/>
      <c r="BE46" s="90"/>
      <c r="BF46" s="98"/>
      <c r="BG46" s="104"/>
      <c r="BH46" s="90"/>
      <c r="BI46" s="90"/>
      <c r="BJ46" s="90"/>
      <c r="BK46" s="91"/>
      <c r="BL46" s="69"/>
      <c r="BM46" s="56"/>
      <c r="BN46">
        <f t="shared" si="8"/>
        <v>0</v>
      </c>
      <c r="BO46">
        <f t="shared" si="9"/>
        <v>0</v>
      </c>
      <c r="BP46">
        <f t="shared" si="10"/>
        <v>0</v>
      </c>
      <c r="BQ46">
        <f t="shared" si="5"/>
        <v>0</v>
      </c>
    </row>
    <row r="47" spans="1:69">
      <c r="A47" s="41" t="str">
        <f>IF(ISBLANK(名簿!A46),"",名簿!A46)</f>
        <v/>
      </c>
      <c r="B47" s="42" t="str">
        <f t="shared" si="6"/>
        <v/>
      </c>
      <c r="C47" s="43" t="str">
        <f t="shared" si="7"/>
        <v/>
      </c>
      <c r="D47" s="131"/>
      <c r="E47" s="128"/>
      <c r="F47" s="128"/>
      <c r="G47" s="128"/>
      <c r="H47" s="92"/>
      <c r="I47" s="92"/>
      <c r="J47" s="92"/>
      <c r="K47" s="128"/>
      <c r="L47" s="92"/>
      <c r="M47" s="92"/>
      <c r="N47" s="99"/>
      <c r="O47" s="123"/>
      <c r="P47" s="128"/>
      <c r="Q47" s="128"/>
      <c r="R47" s="128"/>
      <c r="S47" s="92"/>
      <c r="T47" s="92"/>
      <c r="U47" s="92"/>
      <c r="V47" s="128"/>
      <c r="W47" s="92"/>
      <c r="X47" s="92"/>
      <c r="Y47" s="99"/>
      <c r="Z47" s="123"/>
      <c r="AA47" s="128"/>
      <c r="AB47" s="128"/>
      <c r="AC47" s="128"/>
      <c r="AD47" s="92"/>
      <c r="AE47" s="92"/>
      <c r="AF47" s="128"/>
      <c r="AG47" s="128"/>
      <c r="AH47" s="92"/>
      <c r="AI47" s="128"/>
      <c r="AJ47" s="99"/>
      <c r="AK47" s="123"/>
      <c r="AL47" s="128"/>
      <c r="AM47" s="128"/>
      <c r="AN47" s="128"/>
      <c r="AO47" s="92"/>
      <c r="AP47" s="92"/>
      <c r="AQ47" s="92"/>
      <c r="AR47" s="128"/>
      <c r="AS47" s="92"/>
      <c r="AT47" s="92"/>
      <c r="AU47" s="99"/>
      <c r="AV47" s="123"/>
      <c r="AW47" s="128"/>
      <c r="AX47" s="128"/>
      <c r="AY47" s="128"/>
      <c r="AZ47" s="92"/>
      <c r="BA47" s="92"/>
      <c r="BB47" s="92"/>
      <c r="BC47" s="128"/>
      <c r="BD47" s="92"/>
      <c r="BE47" s="92"/>
      <c r="BF47" s="99"/>
      <c r="BG47" s="105"/>
      <c r="BH47" s="92"/>
      <c r="BI47" s="92"/>
      <c r="BJ47" s="92"/>
      <c r="BK47" s="93"/>
      <c r="BL47" s="69"/>
      <c r="BM47" s="56"/>
      <c r="BN47">
        <f t="shared" si="8"/>
        <v>0</v>
      </c>
      <c r="BO47">
        <f t="shared" si="9"/>
        <v>0</v>
      </c>
      <c r="BP47">
        <f t="shared" si="10"/>
        <v>0</v>
      </c>
      <c r="BQ47">
        <f t="shared" si="5"/>
        <v>0</v>
      </c>
    </row>
    <row r="48" spans="1:69">
      <c r="A48" s="44" t="str">
        <f>IF(ISBLANK(名簿!A47),"",名簿!A47)</f>
        <v/>
      </c>
      <c r="B48" s="45" t="str">
        <f t="shared" si="6"/>
        <v/>
      </c>
      <c r="C48" s="46" t="str">
        <f t="shared" si="7"/>
        <v/>
      </c>
      <c r="D48" s="132"/>
      <c r="E48" s="129"/>
      <c r="F48" s="129"/>
      <c r="G48" s="129"/>
      <c r="H48" s="94"/>
      <c r="I48" s="94"/>
      <c r="J48" s="94"/>
      <c r="K48" s="129"/>
      <c r="L48" s="94"/>
      <c r="M48" s="94"/>
      <c r="N48" s="100"/>
      <c r="O48" s="124"/>
      <c r="P48" s="129"/>
      <c r="Q48" s="129"/>
      <c r="R48" s="129"/>
      <c r="S48" s="94"/>
      <c r="T48" s="94"/>
      <c r="U48" s="94"/>
      <c r="V48" s="129"/>
      <c r="W48" s="94"/>
      <c r="X48" s="94"/>
      <c r="Y48" s="100"/>
      <c r="Z48" s="124"/>
      <c r="AA48" s="129"/>
      <c r="AB48" s="129"/>
      <c r="AC48" s="129"/>
      <c r="AD48" s="94"/>
      <c r="AE48" s="94"/>
      <c r="AF48" s="129"/>
      <c r="AG48" s="129"/>
      <c r="AH48" s="94"/>
      <c r="AI48" s="129"/>
      <c r="AJ48" s="100"/>
      <c r="AK48" s="124"/>
      <c r="AL48" s="129"/>
      <c r="AM48" s="129"/>
      <c r="AN48" s="129"/>
      <c r="AO48" s="94"/>
      <c r="AP48" s="94"/>
      <c r="AQ48" s="94"/>
      <c r="AR48" s="129"/>
      <c r="AS48" s="94"/>
      <c r="AT48" s="94"/>
      <c r="AU48" s="100"/>
      <c r="AV48" s="124"/>
      <c r="AW48" s="129"/>
      <c r="AX48" s="129"/>
      <c r="AY48" s="129"/>
      <c r="AZ48" s="94"/>
      <c r="BA48" s="94"/>
      <c r="BB48" s="94"/>
      <c r="BC48" s="129"/>
      <c r="BD48" s="94"/>
      <c r="BE48" s="94"/>
      <c r="BF48" s="100"/>
      <c r="BG48" s="106"/>
      <c r="BH48" s="94"/>
      <c r="BI48" s="94"/>
      <c r="BJ48" s="94"/>
      <c r="BK48" s="95"/>
      <c r="BL48" s="69"/>
      <c r="BM48" s="56"/>
      <c r="BN48">
        <f t="shared" si="8"/>
        <v>0</v>
      </c>
      <c r="BO48">
        <f t="shared" si="9"/>
        <v>0</v>
      </c>
      <c r="BP48">
        <f t="shared" si="10"/>
        <v>0</v>
      </c>
      <c r="BQ48">
        <f t="shared" si="5"/>
        <v>0</v>
      </c>
    </row>
    <row r="49" spans="1:69">
      <c r="A49" s="38" t="str">
        <f>IF(ISBLANK(名簿!A48),"",名簿!A48)</f>
        <v/>
      </c>
      <c r="B49" s="39" t="str">
        <f t="shared" si="6"/>
        <v/>
      </c>
      <c r="C49" s="40" t="str">
        <f t="shared" si="7"/>
        <v/>
      </c>
      <c r="D49" s="130"/>
      <c r="E49" s="127"/>
      <c r="F49" s="127"/>
      <c r="G49" s="127"/>
      <c r="H49" s="90"/>
      <c r="I49" s="90"/>
      <c r="J49" s="90"/>
      <c r="K49" s="127"/>
      <c r="L49" s="90"/>
      <c r="M49" s="90"/>
      <c r="N49" s="98"/>
      <c r="O49" s="122"/>
      <c r="P49" s="127"/>
      <c r="Q49" s="127"/>
      <c r="R49" s="127"/>
      <c r="S49" s="90"/>
      <c r="T49" s="90"/>
      <c r="U49" s="90"/>
      <c r="V49" s="127"/>
      <c r="W49" s="90"/>
      <c r="X49" s="90"/>
      <c r="Y49" s="98"/>
      <c r="Z49" s="122"/>
      <c r="AA49" s="127"/>
      <c r="AB49" s="127"/>
      <c r="AC49" s="127"/>
      <c r="AD49" s="90"/>
      <c r="AE49" s="90"/>
      <c r="AF49" s="127"/>
      <c r="AG49" s="127"/>
      <c r="AH49" s="90"/>
      <c r="AI49" s="127"/>
      <c r="AJ49" s="98"/>
      <c r="AK49" s="122"/>
      <c r="AL49" s="127"/>
      <c r="AM49" s="127"/>
      <c r="AN49" s="127"/>
      <c r="AO49" s="90"/>
      <c r="AP49" s="90"/>
      <c r="AQ49" s="90"/>
      <c r="AR49" s="127"/>
      <c r="AS49" s="90"/>
      <c r="AT49" s="90"/>
      <c r="AU49" s="98"/>
      <c r="AV49" s="122"/>
      <c r="AW49" s="127"/>
      <c r="AX49" s="127"/>
      <c r="AY49" s="127"/>
      <c r="AZ49" s="90"/>
      <c r="BA49" s="90"/>
      <c r="BB49" s="90"/>
      <c r="BC49" s="127"/>
      <c r="BD49" s="90"/>
      <c r="BE49" s="90"/>
      <c r="BF49" s="98"/>
      <c r="BG49" s="104"/>
      <c r="BH49" s="90"/>
      <c r="BI49" s="90"/>
      <c r="BJ49" s="90"/>
      <c r="BK49" s="91"/>
      <c r="BL49" s="69"/>
      <c r="BM49" s="56"/>
      <c r="BN49">
        <f t="shared" si="8"/>
        <v>0</v>
      </c>
      <c r="BO49">
        <f t="shared" si="9"/>
        <v>0</v>
      </c>
      <c r="BP49">
        <f t="shared" si="10"/>
        <v>0</v>
      </c>
      <c r="BQ49">
        <f t="shared" si="5"/>
        <v>0</v>
      </c>
    </row>
    <row r="50" spans="1:69">
      <c r="A50" s="38" t="str">
        <f>IF(ISBLANK(名簿!A49),"",名簿!A49)</f>
        <v/>
      </c>
      <c r="B50" s="39" t="str">
        <f t="shared" si="6"/>
        <v/>
      </c>
      <c r="C50" s="40" t="str">
        <f t="shared" si="7"/>
        <v/>
      </c>
      <c r="D50" s="130"/>
      <c r="E50" s="127"/>
      <c r="F50" s="127"/>
      <c r="G50" s="127"/>
      <c r="H50" s="90"/>
      <c r="I50" s="90"/>
      <c r="J50" s="90"/>
      <c r="K50" s="127"/>
      <c r="L50" s="90"/>
      <c r="M50" s="90"/>
      <c r="N50" s="98"/>
      <c r="O50" s="122"/>
      <c r="P50" s="127"/>
      <c r="Q50" s="127"/>
      <c r="R50" s="127"/>
      <c r="S50" s="90"/>
      <c r="T50" s="90"/>
      <c r="U50" s="90"/>
      <c r="V50" s="127"/>
      <c r="W50" s="90"/>
      <c r="X50" s="90"/>
      <c r="Y50" s="98"/>
      <c r="Z50" s="122"/>
      <c r="AA50" s="127"/>
      <c r="AB50" s="127"/>
      <c r="AC50" s="127"/>
      <c r="AD50" s="90"/>
      <c r="AE50" s="90"/>
      <c r="AF50" s="127"/>
      <c r="AG50" s="127"/>
      <c r="AH50" s="90"/>
      <c r="AI50" s="127"/>
      <c r="AJ50" s="98"/>
      <c r="AK50" s="122"/>
      <c r="AL50" s="127"/>
      <c r="AM50" s="127"/>
      <c r="AN50" s="127"/>
      <c r="AO50" s="90"/>
      <c r="AP50" s="90"/>
      <c r="AQ50" s="90"/>
      <c r="AR50" s="127"/>
      <c r="AS50" s="90"/>
      <c r="AT50" s="90"/>
      <c r="AU50" s="98"/>
      <c r="AV50" s="122"/>
      <c r="AW50" s="127"/>
      <c r="AX50" s="127"/>
      <c r="AY50" s="127"/>
      <c r="AZ50" s="90"/>
      <c r="BA50" s="90"/>
      <c r="BB50" s="90"/>
      <c r="BC50" s="127"/>
      <c r="BD50" s="90"/>
      <c r="BE50" s="90"/>
      <c r="BF50" s="98"/>
      <c r="BG50" s="104"/>
      <c r="BH50" s="90"/>
      <c r="BI50" s="90"/>
      <c r="BJ50" s="90"/>
      <c r="BK50" s="91"/>
      <c r="BL50" s="69"/>
      <c r="BM50" s="56"/>
      <c r="BN50">
        <f t="shared" si="8"/>
        <v>0</v>
      </c>
      <c r="BO50">
        <f t="shared" si="9"/>
        <v>0</v>
      </c>
      <c r="BP50">
        <f t="shared" si="10"/>
        <v>0</v>
      </c>
      <c r="BQ50">
        <f t="shared" si="5"/>
        <v>0</v>
      </c>
    </row>
    <row r="51" spans="1:69">
      <c r="A51" s="38" t="str">
        <f>IF(ISBLANK(名簿!A50),"",名簿!A50)</f>
        <v/>
      </c>
      <c r="B51" s="39" t="str">
        <f t="shared" si="6"/>
        <v/>
      </c>
      <c r="C51" s="40" t="str">
        <f t="shared" si="7"/>
        <v/>
      </c>
      <c r="D51" s="130"/>
      <c r="E51" s="127"/>
      <c r="F51" s="127"/>
      <c r="G51" s="127"/>
      <c r="H51" s="90"/>
      <c r="I51" s="90"/>
      <c r="J51" s="90"/>
      <c r="K51" s="127"/>
      <c r="L51" s="90"/>
      <c r="M51" s="90"/>
      <c r="N51" s="98"/>
      <c r="O51" s="122"/>
      <c r="P51" s="127"/>
      <c r="Q51" s="127"/>
      <c r="R51" s="127"/>
      <c r="S51" s="90"/>
      <c r="T51" s="90"/>
      <c r="U51" s="90"/>
      <c r="V51" s="127"/>
      <c r="W51" s="90"/>
      <c r="X51" s="90"/>
      <c r="Y51" s="98"/>
      <c r="Z51" s="122"/>
      <c r="AA51" s="127"/>
      <c r="AB51" s="127"/>
      <c r="AC51" s="127"/>
      <c r="AD51" s="90"/>
      <c r="AE51" s="90"/>
      <c r="AF51" s="127"/>
      <c r="AG51" s="127"/>
      <c r="AH51" s="90"/>
      <c r="AI51" s="127"/>
      <c r="AJ51" s="98"/>
      <c r="AK51" s="122"/>
      <c r="AL51" s="127"/>
      <c r="AM51" s="127"/>
      <c r="AN51" s="127"/>
      <c r="AO51" s="90"/>
      <c r="AP51" s="90"/>
      <c r="AQ51" s="90"/>
      <c r="AR51" s="127"/>
      <c r="AS51" s="90"/>
      <c r="AT51" s="90"/>
      <c r="AU51" s="98"/>
      <c r="AV51" s="122"/>
      <c r="AW51" s="127"/>
      <c r="AX51" s="127"/>
      <c r="AY51" s="127"/>
      <c r="AZ51" s="90"/>
      <c r="BA51" s="90"/>
      <c r="BB51" s="90"/>
      <c r="BC51" s="127"/>
      <c r="BD51" s="90"/>
      <c r="BE51" s="90"/>
      <c r="BF51" s="98"/>
      <c r="BG51" s="104"/>
      <c r="BH51" s="90"/>
      <c r="BI51" s="90"/>
      <c r="BJ51" s="90"/>
      <c r="BK51" s="91"/>
      <c r="BL51" s="69"/>
      <c r="BM51" s="56"/>
      <c r="BN51">
        <f t="shared" si="8"/>
        <v>0</v>
      </c>
      <c r="BO51">
        <f t="shared" si="9"/>
        <v>0</v>
      </c>
      <c r="BP51">
        <f t="shared" si="10"/>
        <v>0</v>
      </c>
      <c r="BQ51">
        <f t="shared" si="5"/>
        <v>0</v>
      </c>
    </row>
    <row r="52" spans="1:69">
      <c r="A52" s="41" t="str">
        <f>IF(ISBLANK(名簿!A51),"",名簿!A51)</f>
        <v/>
      </c>
      <c r="B52" s="42" t="str">
        <f t="shared" si="6"/>
        <v/>
      </c>
      <c r="C52" s="43" t="str">
        <f t="shared" si="7"/>
        <v/>
      </c>
      <c r="D52" s="131"/>
      <c r="E52" s="128"/>
      <c r="F52" s="128"/>
      <c r="G52" s="128"/>
      <c r="H52" s="92"/>
      <c r="I52" s="92"/>
      <c r="J52" s="92"/>
      <c r="K52" s="128"/>
      <c r="L52" s="92"/>
      <c r="M52" s="92"/>
      <c r="N52" s="99"/>
      <c r="O52" s="123"/>
      <c r="P52" s="128"/>
      <c r="Q52" s="128"/>
      <c r="R52" s="128"/>
      <c r="S52" s="92"/>
      <c r="T52" s="92"/>
      <c r="U52" s="92"/>
      <c r="V52" s="128"/>
      <c r="W52" s="92"/>
      <c r="X52" s="92"/>
      <c r="Y52" s="99"/>
      <c r="Z52" s="123"/>
      <c r="AA52" s="128"/>
      <c r="AB52" s="128"/>
      <c r="AC52" s="128"/>
      <c r="AD52" s="92"/>
      <c r="AE52" s="92"/>
      <c r="AF52" s="128"/>
      <c r="AG52" s="128"/>
      <c r="AH52" s="92"/>
      <c r="AI52" s="128"/>
      <c r="AJ52" s="99"/>
      <c r="AK52" s="123"/>
      <c r="AL52" s="128"/>
      <c r="AM52" s="128"/>
      <c r="AN52" s="128"/>
      <c r="AO52" s="92"/>
      <c r="AP52" s="92"/>
      <c r="AQ52" s="92"/>
      <c r="AR52" s="128"/>
      <c r="AS52" s="92"/>
      <c r="AT52" s="92"/>
      <c r="AU52" s="99"/>
      <c r="AV52" s="123"/>
      <c r="AW52" s="128"/>
      <c r="AX52" s="128"/>
      <c r="AY52" s="128"/>
      <c r="AZ52" s="92"/>
      <c r="BA52" s="92"/>
      <c r="BB52" s="92"/>
      <c r="BC52" s="128"/>
      <c r="BD52" s="92"/>
      <c r="BE52" s="92"/>
      <c r="BF52" s="99"/>
      <c r="BG52" s="105"/>
      <c r="BH52" s="92"/>
      <c r="BI52" s="92"/>
      <c r="BJ52" s="92"/>
      <c r="BK52" s="93"/>
      <c r="BL52" s="69"/>
      <c r="BM52" s="56"/>
      <c r="BN52">
        <f t="shared" si="8"/>
        <v>0</v>
      </c>
      <c r="BO52">
        <f t="shared" si="9"/>
        <v>0</v>
      </c>
      <c r="BP52">
        <f t="shared" si="10"/>
        <v>0</v>
      </c>
      <c r="BQ52">
        <f t="shared" si="5"/>
        <v>0</v>
      </c>
    </row>
    <row r="54" spans="1:69">
      <c r="C54" s="55" t="s">
        <v>37</v>
      </c>
      <c r="D54">
        <f>COUNTIF(D$3:D$52,"○")</f>
        <v>0</v>
      </c>
      <c r="E54">
        <f t="shared" ref="E54:BK54" si="11">COUNTIF(E$3:E$52,"○")</f>
        <v>0</v>
      </c>
      <c r="F54">
        <f t="shared" si="11"/>
        <v>0</v>
      </c>
      <c r="G54">
        <f t="shared" si="11"/>
        <v>0</v>
      </c>
      <c r="H54">
        <f t="shared" si="11"/>
        <v>0</v>
      </c>
      <c r="I54">
        <f t="shared" si="11"/>
        <v>0</v>
      </c>
      <c r="J54">
        <f t="shared" si="11"/>
        <v>0</v>
      </c>
      <c r="K54">
        <f t="shared" si="11"/>
        <v>0</v>
      </c>
      <c r="L54">
        <f t="shared" si="11"/>
        <v>0</v>
      </c>
      <c r="M54">
        <f t="shared" si="11"/>
        <v>0</v>
      </c>
      <c r="N54">
        <f t="shared" si="11"/>
        <v>0</v>
      </c>
      <c r="O54">
        <f t="shared" si="11"/>
        <v>0</v>
      </c>
      <c r="P54">
        <f t="shared" si="11"/>
        <v>0</v>
      </c>
      <c r="Q54">
        <f t="shared" si="11"/>
        <v>0</v>
      </c>
      <c r="R54">
        <f t="shared" si="11"/>
        <v>0</v>
      </c>
      <c r="S54">
        <f t="shared" si="11"/>
        <v>0</v>
      </c>
      <c r="T54">
        <f t="shared" si="11"/>
        <v>0</v>
      </c>
      <c r="U54">
        <f t="shared" si="11"/>
        <v>0</v>
      </c>
      <c r="V54">
        <f t="shared" si="11"/>
        <v>0</v>
      </c>
      <c r="W54">
        <f t="shared" si="11"/>
        <v>0</v>
      </c>
      <c r="X54">
        <f t="shared" si="11"/>
        <v>0</v>
      </c>
      <c r="Y54">
        <f t="shared" si="11"/>
        <v>0</v>
      </c>
      <c r="Z54">
        <f t="shared" si="11"/>
        <v>0</v>
      </c>
      <c r="AA54">
        <f t="shared" si="11"/>
        <v>0</v>
      </c>
      <c r="AB54">
        <f t="shared" si="11"/>
        <v>0</v>
      </c>
      <c r="AC54">
        <f t="shared" si="11"/>
        <v>0</v>
      </c>
      <c r="AD54">
        <f t="shared" si="11"/>
        <v>0</v>
      </c>
      <c r="AE54">
        <f t="shared" si="11"/>
        <v>0</v>
      </c>
      <c r="AF54">
        <f t="shared" si="11"/>
        <v>0</v>
      </c>
      <c r="AG54">
        <f t="shared" si="11"/>
        <v>0</v>
      </c>
      <c r="AH54">
        <f t="shared" si="11"/>
        <v>0</v>
      </c>
      <c r="AI54">
        <f t="shared" si="11"/>
        <v>0</v>
      </c>
      <c r="AJ54">
        <f t="shared" si="11"/>
        <v>0</v>
      </c>
      <c r="AK54">
        <f t="shared" si="11"/>
        <v>0</v>
      </c>
      <c r="AL54">
        <f t="shared" si="11"/>
        <v>0</v>
      </c>
      <c r="AM54">
        <f t="shared" si="11"/>
        <v>0</v>
      </c>
      <c r="AN54">
        <f t="shared" si="11"/>
        <v>0</v>
      </c>
      <c r="AO54">
        <f t="shared" si="11"/>
        <v>0</v>
      </c>
      <c r="AP54">
        <f t="shared" si="11"/>
        <v>0</v>
      </c>
      <c r="AQ54">
        <f t="shared" si="11"/>
        <v>0</v>
      </c>
      <c r="AR54">
        <f t="shared" si="11"/>
        <v>0</v>
      </c>
      <c r="AS54">
        <f t="shared" si="11"/>
        <v>0</v>
      </c>
      <c r="AT54">
        <f t="shared" si="11"/>
        <v>0</v>
      </c>
      <c r="AU54">
        <f t="shared" si="11"/>
        <v>0</v>
      </c>
      <c r="AV54">
        <f t="shared" si="11"/>
        <v>0</v>
      </c>
      <c r="AW54">
        <f t="shared" si="11"/>
        <v>0</v>
      </c>
      <c r="AX54">
        <f t="shared" si="11"/>
        <v>0</v>
      </c>
      <c r="AY54">
        <f t="shared" si="11"/>
        <v>0</v>
      </c>
      <c r="AZ54">
        <f t="shared" si="11"/>
        <v>0</v>
      </c>
      <c r="BA54">
        <f t="shared" si="11"/>
        <v>0</v>
      </c>
      <c r="BB54">
        <f t="shared" si="11"/>
        <v>0</v>
      </c>
      <c r="BC54">
        <f t="shared" si="11"/>
        <v>0</v>
      </c>
      <c r="BD54">
        <f t="shared" si="11"/>
        <v>0</v>
      </c>
      <c r="BE54">
        <f t="shared" si="11"/>
        <v>0</v>
      </c>
      <c r="BF54">
        <f t="shared" si="11"/>
        <v>0</v>
      </c>
      <c r="BG54">
        <f t="shared" si="11"/>
        <v>0</v>
      </c>
      <c r="BH54">
        <f t="shared" si="11"/>
        <v>0</v>
      </c>
      <c r="BI54">
        <f t="shared" si="11"/>
        <v>0</v>
      </c>
      <c r="BJ54">
        <f t="shared" si="11"/>
        <v>0</v>
      </c>
      <c r="BK54">
        <f t="shared" si="11"/>
        <v>0</v>
      </c>
    </row>
    <row r="55" spans="1:69">
      <c r="C55" s="55" t="s">
        <v>36</v>
      </c>
      <c r="D55">
        <f>COUNTIF(D$3:D$52,"◎")</f>
        <v>0</v>
      </c>
      <c r="E55">
        <f t="shared" ref="E55:BK55" si="12">COUNTIF(E$3:E$52,"◎")</f>
        <v>0</v>
      </c>
      <c r="F55">
        <f t="shared" si="12"/>
        <v>0</v>
      </c>
      <c r="G55">
        <f t="shared" si="12"/>
        <v>0</v>
      </c>
      <c r="H55">
        <f t="shared" si="12"/>
        <v>0</v>
      </c>
      <c r="I55">
        <f t="shared" si="12"/>
        <v>0</v>
      </c>
      <c r="J55">
        <f t="shared" si="12"/>
        <v>0</v>
      </c>
      <c r="K55">
        <f t="shared" si="12"/>
        <v>0</v>
      </c>
      <c r="L55">
        <f t="shared" si="12"/>
        <v>0</v>
      </c>
      <c r="M55">
        <f t="shared" si="12"/>
        <v>0</v>
      </c>
      <c r="N55">
        <f t="shared" si="12"/>
        <v>0</v>
      </c>
      <c r="O55">
        <f t="shared" si="12"/>
        <v>0</v>
      </c>
      <c r="P55">
        <f t="shared" si="12"/>
        <v>0</v>
      </c>
      <c r="Q55">
        <f t="shared" si="12"/>
        <v>0</v>
      </c>
      <c r="R55">
        <f t="shared" si="12"/>
        <v>0</v>
      </c>
      <c r="S55">
        <f t="shared" si="12"/>
        <v>0</v>
      </c>
      <c r="T55">
        <f t="shared" si="12"/>
        <v>0</v>
      </c>
      <c r="U55">
        <f t="shared" si="12"/>
        <v>0</v>
      </c>
      <c r="V55">
        <f t="shared" si="12"/>
        <v>0</v>
      </c>
      <c r="W55">
        <f t="shared" si="12"/>
        <v>0</v>
      </c>
      <c r="X55">
        <f t="shared" si="12"/>
        <v>0</v>
      </c>
      <c r="Y55">
        <f t="shared" si="12"/>
        <v>0</v>
      </c>
      <c r="Z55">
        <f t="shared" si="12"/>
        <v>0</v>
      </c>
      <c r="AA55">
        <f t="shared" si="12"/>
        <v>0</v>
      </c>
      <c r="AB55">
        <f t="shared" si="12"/>
        <v>0</v>
      </c>
      <c r="AC55">
        <f t="shared" si="12"/>
        <v>0</v>
      </c>
      <c r="AD55">
        <f t="shared" si="12"/>
        <v>0</v>
      </c>
      <c r="AE55">
        <f t="shared" si="12"/>
        <v>0</v>
      </c>
      <c r="AF55">
        <f t="shared" si="12"/>
        <v>0</v>
      </c>
      <c r="AG55">
        <f t="shared" si="12"/>
        <v>0</v>
      </c>
      <c r="AH55">
        <f t="shared" si="12"/>
        <v>0</v>
      </c>
      <c r="AI55">
        <f t="shared" si="12"/>
        <v>0</v>
      </c>
      <c r="AJ55">
        <f t="shared" si="12"/>
        <v>0</v>
      </c>
      <c r="AK55">
        <f t="shared" si="12"/>
        <v>0</v>
      </c>
      <c r="AL55">
        <f t="shared" si="12"/>
        <v>0</v>
      </c>
      <c r="AM55">
        <f t="shared" si="12"/>
        <v>0</v>
      </c>
      <c r="AN55">
        <f t="shared" si="12"/>
        <v>0</v>
      </c>
      <c r="AO55">
        <f t="shared" si="12"/>
        <v>0</v>
      </c>
      <c r="AP55">
        <f t="shared" si="12"/>
        <v>0</v>
      </c>
      <c r="AQ55">
        <f t="shared" si="12"/>
        <v>0</v>
      </c>
      <c r="AR55">
        <f t="shared" si="12"/>
        <v>0</v>
      </c>
      <c r="AS55">
        <f t="shared" si="12"/>
        <v>0</v>
      </c>
      <c r="AT55">
        <f t="shared" si="12"/>
        <v>0</v>
      </c>
      <c r="AU55">
        <f t="shared" si="12"/>
        <v>0</v>
      </c>
      <c r="AV55">
        <f t="shared" si="12"/>
        <v>0</v>
      </c>
      <c r="AW55">
        <f t="shared" si="12"/>
        <v>0</v>
      </c>
      <c r="AX55">
        <f t="shared" si="12"/>
        <v>0</v>
      </c>
      <c r="AY55">
        <f t="shared" si="12"/>
        <v>0</v>
      </c>
      <c r="AZ55">
        <f t="shared" si="12"/>
        <v>0</v>
      </c>
      <c r="BA55">
        <f t="shared" si="12"/>
        <v>0</v>
      </c>
      <c r="BB55">
        <f t="shared" si="12"/>
        <v>0</v>
      </c>
      <c r="BC55">
        <f t="shared" si="12"/>
        <v>0</v>
      </c>
      <c r="BD55">
        <f t="shared" si="12"/>
        <v>0</v>
      </c>
      <c r="BE55">
        <f t="shared" si="12"/>
        <v>0</v>
      </c>
      <c r="BF55">
        <f t="shared" si="12"/>
        <v>0</v>
      </c>
      <c r="BG55">
        <f t="shared" si="12"/>
        <v>0</v>
      </c>
      <c r="BH55">
        <f t="shared" si="12"/>
        <v>0</v>
      </c>
      <c r="BI55">
        <f t="shared" si="12"/>
        <v>0</v>
      </c>
      <c r="BJ55">
        <f t="shared" si="12"/>
        <v>0</v>
      </c>
      <c r="BK55">
        <f t="shared" si="12"/>
        <v>0</v>
      </c>
    </row>
    <row r="56" spans="1:69">
      <c r="C56" s="55" t="s">
        <v>38</v>
      </c>
      <c r="D56">
        <f>COUNTIF(D$3:D$52,"△")</f>
        <v>0</v>
      </c>
      <c r="E56">
        <f t="shared" ref="E56:BK56" si="13">COUNTIF(E$3:E$52,"△")</f>
        <v>0</v>
      </c>
      <c r="F56">
        <f t="shared" si="13"/>
        <v>0</v>
      </c>
      <c r="G56">
        <f t="shared" si="13"/>
        <v>0</v>
      </c>
      <c r="H56">
        <f t="shared" si="13"/>
        <v>0</v>
      </c>
      <c r="I56">
        <f t="shared" si="13"/>
        <v>0</v>
      </c>
      <c r="J56">
        <f t="shared" si="13"/>
        <v>0</v>
      </c>
      <c r="K56">
        <f t="shared" si="13"/>
        <v>0</v>
      </c>
      <c r="L56">
        <f t="shared" si="13"/>
        <v>0</v>
      </c>
      <c r="M56">
        <f t="shared" si="13"/>
        <v>0</v>
      </c>
      <c r="N56">
        <f t="shared" si="13"/>
        <v>0</v>
      </c>
      <c r="O56">
        <f t="shared" si="13"/>
        <v>0</v>
      </c>
      <c r="P56">
        <f t="shared" si="13"/>
        <v>0</v>
      </c>
      <c r="Q56">
        <f t="shared" si="13"/>
        <v>0</v>
      </c>
      <c r="R56">
        <f t="shared" si="13"/>
        <v>0</v>
      </c>
      <c r="S56">
        <f t="shared" si="13"/>
        <v>0</v>
      </c>
      <c r="T56">
        <f t="shared" si="13"/>
        <v>0</v>
      </c>
      <c r="U56">
        <f t="shared" si="13"/>
        <v>0</v>
      </c>
      <c r="V56">
        <f t="shared" si="13"/>
        <v>0</v>
      </c>
      <c r="W56">
        <f t="shared" si="13"/>
        <v>0</v>
      </c>
      <c r="X56">
        <f t="shared" si="13"/>
        <v>0</v>
      </c>
      <c r="Y56">
        <f t="shared" si="13"/>
        <v>0</v>
      </c>
      <c r="Z56">
        <f t="shared" si="13"/>
        <v>0</v>
      </c>
      <c r="AA56">
        <f t="shared" si="13"/>
        <v>0</v>
      </c>
      <c r="AB56">
        <f t="shared" si="13"/>
        <v>0</v>
      </c>
      <c r="AC56">
        <f t="shared" si="13"/>
        <v>0</v>
      </c>
      <c r="AD56">
        <f t="shared" si="13"/>
        <v>0</v>
      </c>
      <c r="AE56">
        <f t="shared" si="13"/>
        <v>0</v>
      </c>
      <c r="AF56">
        <f t="shared" si="13"/>
        <v>0</v>
      </c>
      <c r="AG56">
        <f t="shared" si="13"/>
        <v>0</v>
      </c>
      <c r="AH56">
        <f t="shared" si="13"/>
        <v>0</v>
      </c>
      <c r="AI56">
        <f t="shared" si="13"/>
        <v>0</v>
      </c>
      <c r="AJ56">
        <f t="shared" si="13"/>
        <v>0</v>
      </c>
      <c r="AK56">
        <f t="shared" si="13"/>
        <v>0</v>
      </c>
      <c r="AL56">
        <f t="shared" si="13"/>
        <v>0</v>
      </c>
      <c r="AM56">
        <f t="shared" si="13"/>
        <v>0</v>
      </c>
      <c r="AN56">
        <f t="shared" si="13"/>
        <v>0</v>
      </c>
      <c r="AO56">
        <f t="shared" si="13"/>
        <v>0</v>
      </c>
      <c r="AP56">
        <f t="shared" si="13"/>
        <v>0</v>
      </c>
      <c r="AQ56">
        <f t="shared" si="13"/>
        <v>0</v>
      </c>
      <c r="AR56">
        <f t="shared" si="13"/>
        <v>0</v>
      </c>
      <c r="AS56">
        <f t="shared" si="13"/>
        <v>0</v>
      </c>
      <c r="AT56">
        <f t="shared" si="13"/>
        <v>0</v>
      </c>
      <c r="AU56">
        <f t="shared" si="13"/>
        <v>0</v>
      </c>
      <c r="AV56">
        <f t="shared" si="13"/>
        <v>0</v>
      </c>
      <c r="AW56">
        <f t="shared" si="13"/>
        <v>0</v>
      </c>
      <c r="AX56">
        <f t="shared" si="13"/>
        <v>0</v>
      </c>
      <c r="AY56">
        <f t="shared" si="13"/>
        <v>0</v>
      </c>
      <c r="AZ56">
        <f t="shared" si="13"/>
        <v>0</v>
      </c>
      <c r="BA56">
        <f t="shared" si="13"/>
        <v>0</v>
      </c>
      <c r="BB56">
        <f t="shared" si="13"/>
        <v>0</v>
      </c>
      <c r="BC56">
        <f t="shared" si="13"/>
        <v>0</v>
      </c>
      <c r="BD56">
        <f t="shared" si="13"/>
        <v>0</v>
      </c>
      <c r="BE56">
        <f t="shared" si="13"/>
        <v>0</v>
      </c>
      <c r="BF56">
        <f t="shared" si="13"/>
        <v>0</v>
      </c>
      <c r="BG56">
        <f t="shared" si="13"/>
        <v>0</v>
      </c>
      <c r="BH56">
        <f t="shared" si="13"/>
        <v>0</v>
      </c>
      <c r="BI56">
        <f t="shared" si="13"/>
        <v>0</v>
      </c>
      <c r="BJ56">
        <f t="shared" si="13"/>
        <v>0</v>
      </c>
      <c r="BK56">
        <f t="shared" si="13"/>
        <v>0</v>
      </c>
    </row>
    <row r="57" spans="1:69">
      <c r="C57" s="55" t="s">
        <v>61</v>
      </c>
      <c r="D57">
        <f>CellColor(D3:D52)</f>
        <v>51</v>
      </c>
      <c r="E57">
        <f t="shared" ref="E57:BK57" si="14">CellColor(E3:E52)</f>
        <v>0</v>
      </c>
      <c r="F57">
        <f t="shared" si="14"/>
        <v>0</v>
      </c>
      <c r="G57">
        <f t="shared" si="14"/>
        <v>51</v>
      </c>
      <c r="H57">
        <f t="shared" si="14"/>
        <v>0</v>
      </c>
      <c r="I57">
        <f t="shared" si="14"/>
        <v>0</v>
      </c>
      <c r="J57">
        <f t="shared" si="14"/>
        <v>0</v>
      </c>
      <c r="K57">
        <f t="shared" si="14"/>
        <v>51</v>
      </c>
      <c r="L57">
        <f t="shared" si="14"/>
        <v>0</v>
      </c>
      <c r="M57">
        <f t="shared" si="14"/>
        <v>0</v>
      </c>
      <c r="N57">
        <f t="shared" si="14"/>
        <v>0</v>
      </c>
      <c r="O57">
        <f t="shared" si="14"/>
        <v>51</v>
      </c>
      <c r="P57">
        <f t="shared" si="14"/>
        <v>51</v>
      </c>
      <c r="Q57">
        <f t="shared" si="14"/>
        <v>0</v>
      </c>
      <c r="R57">
        <f t="shared" si="14"/>
        <v>51</v>
      </c>
      <c r="S57">
        <f t="shared" si="14"/>
        <v>0</v>
      </c>
      <c r="T57">
        <f t="shared" si="14"/>
        <v>0</v>
      </c>
      <c r="U57">
        <f t="shared" si="14"/>
        <v>0</v>
      </c>
      <c r="V57">
        <f t="shared" si="14"/>
        <v>51</v>
      </c>
      <c r="W57">
        <f t="shared" si="14"/>
        <v>0</v>
      </c>
      <c r="X57">
        <f t="shared" si="14"/>
        <v>0</v>
      </c>
      <c r="Y57">
        <f t="shared" si="14"/>
        <v>0</v>
      </c>
      <c r="Z57">
        <f t="shared" si="14"/>
        <v>51</v>
      </c>
      <c r="AA57">
        <f t="shared" si="14"/>
        <v>51</v>
      </c>
      <c r="AB57">
        <f t="shared" si="14"/>
        <v>0</v>
      </c>
      <c r="AC57">
        <f t="shared" si="14"/>
        <v>51</v>
      </c>
      <c r="AD57">
        <f t="shared" si="14"/>
        <v>0</v>
      </c>
      <c r="AE57">
        <f t="shared" si="14"/>
        <v>0</v>
      </c>
      <c r="AF57">
        <f t="shared" si="14"/>
        <v>0</v>
      </c>
      <c r="AG57">
        <f t="shared" si="14"/>
        <v>51</v>
      </c>
      <c r="AH57">
        <f t="shared" si="14"/>
        <v>0</v>
      </c>
      <c r="AI57">
        <f t="shared" si="14"/>
        <v>0</v>
      </c>
      <c r="AJ57">
        <f t="shared" si="14"/>
        <v>0</v>
      </c>
      <c r="AK57">
        <f t="shared" si="14"/>
        <v>51</v>
      </c>
      <c r="AL57">
        <f t="shared" si="14"/>
        <v>51</v>
      </c>
      <c r="AM57">
        <f t="shared" si="14"/>
        <v>0</v>
      </c>
      <c r="AN57">
        <f t="shared" si="14"/>
        <v>51</v>
      </c>
      <c r="AO57">
        <f t="shared" si="14"/>
        <v>0</v>
      </c>
      <c r="AP57">
        <f t="shared" si="14"/>
        <v>0</v>
      </c>
      <c r="AQ57">
        <f t="shared" si="14"/>
        <v>0</v>
      </c>
      <c r="AR57">
        <f t="shared" si="14"/>
        <v>51</v>
      </c>
      <c r="AS57">
        <f t="shared" si="14"/>
        <v>0</v>
      </c>
      <c r="AT57">
        <f t="shared" si="14"/>
        <v>0</v>
      </c>
      <c r="AU57">
        <f t="shared" si="14"/>
        <v>0</v>
      </c>
      <c r="AV57">
        <f t="shared" si="14"/>
        <v>51</v>
      </c>
      <c r="AW57">
        <f t="shared" si="14"/>
        <v>51</v>
      </c>
      <c r="AX57">
        <f t="shared" si="14"/>
        <v>0</v>
      </c>
      <c r="AY57">
        <f t="shared" si="14"/>
        <v>51</v>
      </c>
      <c r="AZ57">
        <f t="shared" si="14"/>
        <v>0</v>
      </c>
      <c r="BA57">
        <f t="shared" si="14"/>
        <v>0</v>
      </c>
      <c r="BB57">
        <f t="shared" si="14"/>
        <v>0</v>
      </c>
      <c r="BC57">
        <f t="shared" si="14"/>
        <v>51</v>
      </c>
      <c r="BD57">
        <f t="shared" si="14"/>
        <v>0</v>
      </c>
      <c r="BE57">
        <f t="shared" si="14"/>
        <v>0</v>
      </c>
      <c r="BF57">
        <f t="shared" si="14"/>
        <v>0</v>
      </c>
      <c r="BG57">
        <f t="shared" si="14"/>
        <v>0</v>
      </c>
      <c r="BH57">
        <f t="shared" si="14"/>
        <v>0</v>
      </c>
      <c r="BI57">
        <f t="shared" si="14"/>
        <v>0</v>
      </c>
      <c r="BJ57">
        <f t="shared" si="14"/>
        <v>0</v>
      </c>
      <c r="BK57">
        <f t="shared" si="14"/>
        <v>0</v>
      </c>
    </row>
  </sheetData>
  <sheetProtection sheet="1" objects="1" scenarios="1"/>
  <mergeCells count="5">
    <mergeCell ref="D1:N1"/>
    <mergeCell ref="O1:Y1"/>
    <mergeCell ref="Z1:AJ1"/>
    <mergeCell ref="AK1:AU1"/>
    <mergeCell ref="AV1:BF1"/>
  </mergeCells>
  <phoneticPr fontId="5"/>
  <conditionalFormatting sqref="D3:BK52">
    <cfRule type="expression" dxfId="4" priority="4" stopIfTrue="1">
      <formula>$BL3=1</formula>
    </cfRule>
    <cfRule type="expression" dxfId="3" priority="5" stopIfTrue="1">
      <formula>$BM3&gt;=2</formula>
    </cfRule>
    <cfRule type="expression" dxfId="2" priority="6">
      <formula>$BM3=1</formula>
    </cfRule>
  </conditionalFormatting>
  <conditionalFormatting sqref="D2:BK2">
    <cfRule type="expression" priority="1" stopIfTrue="1">
      <formula>OR(D$57=1,D$57=51)</formula>
    </cfRule>
    <cfRule type="expression" dxfId="1" priority="2" stopIfTrue="1">
      <formula>D$57=0</formula>
    </cfRule>
    <cfRule type="expression" dxfId="0" priority="3" stopIfTrue="1">
      <formula>D$57&gt;1</formula>
    </cfRule>
  </conditionalFormatting>
  <printOptions horizontalCentered="1" verticalCentered="1"/>
  <pageMargins left="0.44" right="0.43" top="0.44" bottom="0.48" header="0.31496062992125984" footer="0.31496062992125984"/>
  <pageSetup paperSize="9" scale="94" orientation="landscape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92D050"/>
  </sheetPr>
  <dimension ref="B1:AA51"/>
  <sheetViews>
    <sheetView zoomScale="90" zoomScaleNormal="90" workbookViewId="0">
      <selection activeCell="D3" sqref="D3"/>
    </sheetView>
  </sheetViews>
  <sheetFormatPr defaultColWidth="9" defaultRowHeight="17.25"/>
  <cols>
    <col min="1" max="1" width="3.125" style="4" customWidth="1"/>
    <col min="2" max="2" width="8.125" style="4" customWidth="1"/>
    <col min="3" max="3" width="3.25" style="4" customWidth="1"/>
    <col min="4" max="4" width="4.125" style="4" customWidth="1"/>
    <col min="5" max="6" width="8" style="4" customWidth="1"/>
    <col min="7" max="7" width="4.125" style="4" customWidth="1"/>
    <col min="8" max="9" width="8" style="4" customWidth="1"/>
    <col min="10" max="10" width="4.125" style="4" customWidth="1"/>
    <col min="11" max="12" width="8" style="4" customWidth="1"/>
    <col min="13" max="13" width="4.125" style="4" customWidth="1"/>
    <col min="14" max="15" width="8" style="4" customWidth="1"/>
    <col min="16" max="16" width="4.125" style="4" customWidth="1"/>
    <col min="17" max="18" width="8" style="4" customWidth="1"/>
    <col min="19" max="41" width="9" style="4"/>
    <col min="42" max="42" width="9.375" style="4" bestFit="1" customWidth="1"/>
    <col min="43" max="16384" width="9" style="4"/>
  </cols>
  <sheetData>
    <row r="1" spans="2:27" s="78" customFormat="1" ht="39.75" customHeight="1" thickBot="1">
      <c r="B1" s="72"/>
      <c r="C1" s="77"/>
      <c r="D1" s="77"/>
      <c r="E1" s="77"/>
      <c r="F1" s="77"/>
      <c r="G1" s="77"/>
      <c r="H1" s="77"/>
      <c r="I1" s="77"/>
      <c r="J1" s="77"/>
      <c r="K1" s="77"/>
      <c r="L1" s="77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</row>
    <row r="2" spans="2:27" ht="27" customHeight="1">
      <c r="B2" s="140" t="s">
        <v>4</v>
      </c>
      <c r="C2" s="141"/>
      <c r="D2" s="1"/>
      <c r="E2" s="2"/>
      <c r="F2" s="12"/>
      <c r="G2" s="13"/>
      <c r="H2" s="2"/>
      <c r="I2" s="12"/>
      <c r="J2" s="13"/>
      <c r="K2" s="2"/>
      <c r="L2" s="12"/>
      <c r="M2" s="13"/>
      <c r="N2" s="2"/>
      <c r="O2" s="12"/>
      <c r="P2" s="13"/>
      <c r="Q2" s="2"/>
      <c r="R2" s="3"/>
      <c r="S2" s="47"/>
    </row>
    <row r="3" spans="2:27" ht="27" customHeight="1" thickBot="1">
      <c r="B3" s="138" t="s">
        <v>5</v>
      </c>
      <c r="C3" s="139"/>
      <c r="D3" s="14">
        <f>D2</f>
        <v>0</v>
      </c>
      <c r="E3" s="5"/>
      <c r="F3" s="15"/>
      <c r="G3" s="16">
        <f>G2</f>
        <v>0</v>
      </c>
      <c r="H3" s="6"/>
      <c r="I3" s="17"/>
      <c r="J3" s="18">
        <f>J2</f>
        <v>0</v>
      </c>
      <c r="K3" s="5"/>
      <c r="L3" s="15"/>
      <c r="M3" s="18">
        <f>M2</f>
        <v>0</v>
      </c>
      <c r="N3" s="5"/>
      <c r="O3" s="15"/>
      <c r="P3" s="18">
        <f>P2</f>
        <v>0</v>
      </c>
      <c r="Q3" s="5"/>
      <c r="R3" s="7"/>
      <c r="S3" s="47"/>
    </row>
    <row r="4" spans="2:27" ht="45" customHeight="1" thickTop="1">
      <c r="B4" s="48"/>
      <c r="C4" s="19"/>
      <c r="D4" s="25"/>
      <c r="E4" s="20" t="str">
        <f t="shared" ref="E4:E36" si="0">IF(ISBLANK(D4),"",VLOOKUP(D4,氏名,2,0))</f>
        <v/>
      </c>
      <c r="F4" s="21" t="str">
        <f t="shared" ref="F4:F36" si="1">IF(ISBLANK(D4),"",VLOOKUP(D4,氏名,3,0))</f>
        <v/>
      </c>
      <c r="G4" s="27"/>
      <c r="H4" s="20" t="str">
        <f t="shared" ref="H4:H36" si="2">IF(ISBLANK(G4),"",VLOOKUP(G4,氏名,2,0))</f>
        <v/>
      </c>
      <c r="I4" s="21" t="str">
        <f t="shared" ref="I4:I36" si="3">IF(ISBLANK(G4),"",VLOOKUP(G4,氏名,3,0))</f>
        <v/>
      </c>
      <c r="J4" s="27"/>
      <c r="K4" s="20" t="str">
        <f t="shared" ref="K4:K36" si="4">IF(ISBLANK(J4),"",VLOOKUP(J4,氏名,2,0))</f>
        <v/>
      </c>
      <c r="L4" s="21" t="str">
        <f t="shared" ref="L4:L36" si="5">IF(ISBLANK(J4),"",VLOOKUP(J4,氏名,3,0))</f>
        <v/>
      </c>
      <c r="M4" s="27"/>
      <c r="N4" s="20" t="str">
        <f t="shared" ref="N4:N36" si="6">IF(ISBLANK(M4),"",VLOOKUP(M4,氏名,2,0))</f>
        <v/>
      </c>
      <c r="O4" s="21" t="str">
        <f t="shared" ref="O4:O36" si="7">IF(ISBLANK(M4),"",VLOOKUP(M4,氏名,3,0))</f>
        <v/>
      </c>
      <c r="P4" s="27"/>
      <c r="Q4" s="20" t="str">
        <f t="shared" ref="Q4:Q36" si="8">IF(ISBLANK(P4),"",VLOOKUP(P4,氏名,2,0))</f>
        <v/>
      </c>
      <c r="R4" s="19" t="str">
        <f t="shared" ref="R4:R36" si="9">IF(ISBLANK(P4),"",VLOOKUP(P4,氏名,3,0))</f>
        <v/>
      </c>
      <c r="S4" s="47"/>
    </row>
    <row r="5" spans="2:27" ht="45" customHeight="1">
      <c r="B5" s="48"/>
      <c r="C5" s="19" t="s">
        <v>3</v>
      </c>
      <c r="D5" s="25"/>
      <c r="E5" s="20" t="str">
        <f t="shared" si="0"/>
        <v/>
      </c>
      <c r="F5" s="21" t="str">
        <f t="shared" si="1"/>
        <v/>
      </c>
      <c r="G5" s="27"/>
      <c r="H5" s="20" t="str">
        <f t="shared" si="2"/>
        <v/>
      </c>
      <c r="I5" s="21" t="str">
        <f t="shared" si="3"/>
        <v/>
      </c>
      <c r="J5" s="27"/>
      <c r="K5" s="20" t="str">
        <f t="shared" si="4"/>
        <v/>
      </c>
      <c r="L5" s="21" t="str">
        <f t="shared" si="5"/>
        <v/>
      </c>
      <c r="M5" s="27"/>
      <c r="N5" s="20" t="str">
        <f t="shared" si="6"/>
        <v/>
      </c>
      <c r="O5" s="21" t="str">
        <f t="shared" si="7"/>
        <v/>
      </c>
      <c r="P5" s="27"/>
      <c r="Q5" s="20" t="str">
        <f t="shared" si="8"/>
        <v/>
      </c>
      <c r="R5" s="19" t="str">
        <f t="shared" si="9"/>
        <v/>
      </c>
      <c r="S5" s="47"/>
    </row>
    <row r="6" spans="2:27" ht="45" customHeight="1">
      <c r="B6" s="48"/>
      <c r="C6" s="19" t="s">
        <v>3</v>
      </c>
      <c r="D6" s="25"/>
      <c r="E6" s="20" t="str">
        <f t="shared" si="0"/>
        <v/>
      </c>
      <c r="F6" s="21" t="str">
        <f t="shared" si="1"/>
        <v/>
      </c>
      <c r="G6" s="27"/>
      <c r="H6" s="20" t="str">
        <f t="shared" si="2"/>
        <v/>
      </c>
      <c r="I6" s="21" t="str">
        <f t="shared" si="3"/>
        <v/>
      </c>
      <c r="J6" s="27"/>
      <c r="K6" s="20" t="str">
        <f t="shared" si="4"/>
        <v/>
      </c>
      <c r="L6" s="21" t="str">
        <f t="shared" si="5"/>
        <v/>
      </c>
      <c r="M6" s="27"/>
      <c r="N6" s="20" t="str">
        <f t="shared" si="6"/>
        <v/>
      </c>
      <c r="O6" s="21" t="str">
        <f t="shared" si="7"/>
        <v/>
      </c>
      <c r="P6" s="27"/>
      <c r="Q6" s="20" t="str">
        <f t="shared" si="8"/>
        <v/>
      </c>
      <c r="R6" s="19" t="str">
        <f t="shared" si="9"/>
        <v/>
      </c>
      <c r="S6" s="47"/>
    </row>
    <row r="7" spans="2:27" ht="45" customHeight="1">
      <c r="B7" s="48"/>
      <c r="C7" s="19" t="s">
        <v>3</v>
      </c>
      <c r="D7" s="25"/>
      <c r="E7" s="20" t="str">
        <f t="shared" si="0"/>
        <v/>
      </c>
      <c r="F7" s="21" t="str">
        <f t="shared" si="1"/>
        <v/>
      </c>
      <c r="G7" s="27"/>
      <c r="H7" s="20" t="str">
        <f t="shared" si="2"/>
        <v/>
      </c>
      <c r="I7" s="21" t="str">
        <f t="shared" si="3"/>
        <v/>
      </c>
      <c r="J7" s="27"/>
      <c r="K7" s="20" t="str">
        <f t="shared" si="4"/>
        <v/>
      </c>
      <c r="L7" s="21" t="str">
        <f t="shared" si="5"/>
        <v/>
      </c>
      <c r="M7" s="27"/>
      <c r="N7" s="20" t="str">
        <f t="shared" si="6"/>
        <v/>
      </c>
      <c r="O7" s="21" t="str">
        <f t="shared" si="7"/>
        <v/>
      </c>
      <c r="P7" s="27"/>
      <c r="Q7" s="20" t="str">
        <f t="shared" si="8"/>
        <v/>
      </c>
      <c r="R7" s="19" t="str">
        <f t="shared" si="9"/>
        <v/>
      </c>
      <c r="S7" s="47"/>
    </row>
    <row r="8" spans="2:27" ht="45" customHeight="1">
      <c r="B8" s="48"/>
      <c r="C8" s="19" t="s">
        <v>3</v>
      </c>
      <c r="D8" s="25"/>
      <c r="E8" s="20" t="str">
        <f t="shared" si="0"/>
        <v/>
      </c>
      <c r="F8" s="21" t="str">
        <f t="shared" si="1"/>
        <v/>
      </c>
      <c r="G8" s="27"/>
      <c r="H8" s="20" t="str">
        <f t="shared" si="2"/>
        <v/>
      </c>
      <c r="I8" s="21" t="str">
        <f t="shared" si="3"/>
        <v/>
      </c>
      <c r="J8" s="27"/>
      <c r="K8" s="20" t="str">
        <f t="shared" si="4"/>
        <v/>
      </c>
      <c r="L8" s="21" t="str">
        <f t="shared" si="5"/>
        <v/>
      </c>
      <c r="M8" s="27"/>
      <c r="N8" s="20" t="str">
        <f t="shared" si="6"/>
        <v/>
      </c>
      <c r="O8" s="21" t="str">
        <f t="shared" si="7"/>
        <v/>
      </c>
      <c r="P8" s="27"/>
      <c r="Q8" s="20" t="str">
        <f t="shared" si="8"/>
        <v/>
      </c>
      <c r="R8" s="19" t="str">
        <f t="shared" si="9"/>
        <v/>
      </c>
      <c r="S8" s="47"/>
    </row>
    <row r="9" spans="2:27" ht="45" customHeight="1">
      <c r="B9" s="48"/>
      <c r="C9" s="19" t="s">
        <v>3</v>
      </c>
      <c r="D9" s="25"/>
      <c r="E9" s="20" t="str">
        <f t="shared" si="0"/>
        <v/>
      </c>
      <c r="F9" s="21" t="str">
        <f t="shared" si="1"/>
        <v/>
      </c>
      <c r="G9" s="27"/>
      <c r="H9" s="20" t="str">
        <f t="shared" si="2"/>
        <v/>
      </c>
      <c r="I9" s="21" t="str">
        <f t="shared" si="3"/>
        <v/>
      </c>
      <c r="J9" s="27"/>
      <c r="K9" s="20" t="str">
        <f t="shared" si="4"/>
        <v/>
      </c>
      <c r="L9" s="21" t="str">
        <f t="shared" si="5"/>
        <v/>
      </c>
      <c r="M9" s="27"/>
      <c r="N9" s="20" t="str">
        <f t="shared" si="6"/>
        <v/>
      </c>
      <c r="O9" s="21" t="str">
        <f t="shared" si="7"/>
        <v/>
      </c>
      <c r="P9" s="27"/>
      <c r="Q9" s="20" t="str">
        <f t="shared" si="8"/>
        <v/>
      </c>
      <c r="R9" s="19" t="str">
        <f t="shared" si="9"/>
        <v/>
      </c>
      <c r="S9" s="47"/>
    </row>
    <row r="10" spans="2:27" ht="45" customHeight="1">
      <c r="B10" s="48"/>
      <c r="C10" s="19" t="s">
        <v>6</v>
      </c>
      <c r="D10" s="25"/>
      <c r="E10" s="20" t="str">
        <f t="shared" si="0"/>
        <v/>
      </c>
      <c r="F10" s="21" t="str">
        <f t="shared" si="1"/>
        <v/>
      </c>
      <c r="G10" s="27"/>
      <c r="H10" s="20" t="str">
        <f t="shared" si="2"/>
        <v/>
      </c>
      <c r="I10" s="21" t="str">
        <f t="shared" si="3"/>
        <v/>
      </c>
      <c r="J10" s="27"/>
      <c r="K10" s="20" t="str">
        <f t="shared" si="4"/>
        <v/>
      </c>
      <c r="L10" s="21" t="str">
        <f t="shared" si="5"/>
        <v/>
      </c>
      <c r="M10" s="27"/>
      <c r="N10" s="20" t="str">
        <f t="shared" si="6"/>
        <v/>
      </c>
      <c r="O10" s="21" t="str">
        <f t="shared" si="7"/>
        <v/>
      </c>
      <c r="P10" s="27"/>
      <c r="Q10" s="20" t="str">
        <f t="shared" si="8"/>
        <v/>
      </c>
      <c r="R10" s="19" t="str">
        <f t="shared" si="9"/>
        <v/>
      </c>
      <c r="S10" s="47"/>
    </row>
    <row r="11" spans="2:27" ht="45" customHeight="1">
      <c r="B11" s="48"/>
      <c r="C11" s="19" t="s">
        <v>3</v>
      </c>
      <c r="D11" s="25"/>
      <c r="E11" s="20" t="str">
        <f t="shared" si="0"/>
        <v/>
      </c>
      <c r="F11" s="21" t="str">
        <f t="shared" si="1"/>
        <v/>
      </c>
      <c r="G11" s="27"/>
      <c r="H11" s="20" t="str">
        <f t="shared" si="2"/>
        <v/>
      </c>
      <c r="I11" s="21" t="str">
        <f t="shared" si="3"/>
        <v/>
      </c>
      <c r="J11" s="27"/>
      <c r="K11" s="20" t="str">
        <f t="shared" si="4"/>
        <v/>
      </c>
      <c r="L11" s="21" t="str">
        <f t="shared" si="5"/>
        <v/>
      </c>
      <c r="M11" s="27"/>
      <c r="N11" s="20" t="str">
        <f t="shared" si="6"/>
        <v/>
      </c>
      <c r="O11" s="21" t="str">
        <f t="shared" si="7"/>
        <v/>
      </c>
      <c r="P11" s="27"/>
      <c r="Q11" s="20" t="str">
        <f t="shared" si="8"/>
        <v/>
      </c>
      <c r="R11" s="19" t="str">
        <f t="shared" si="9"/>
        <v/>
      </c>
      <c r="S11" s="47"/>
    </row>
    <row r="12" spans="2:27" ht="45" customHeight="1">
      <c r="B12" s="48"/>
      <c r="C12" s="19" t="s">
        <v>3</v>
      </c>
      <c r="D12" s="25"/>
      <c r="E12" s="20" t="str">
        <f t="shared" si="0"/>
        <v/>
      </c>
      <c r="F12" s="21" t="str">
        <f t="shared" si="1"/>
        <v/>
      </c>
      <c r="G12" s="27"/>
      <c r="H12" s="20" t="str">
        <f t="shared" si="2"/>
        <v/>
      </c>
      <c r="I12" s="21" t="str">
        <f t="shared" si="3"/>
        <v/>
      </c>
      <c r="J12" s="27"/>
      <c r="K12" s="20" t="str">
        <f t="shared" si="4"/>
        <v/>
      </c>
      <c r="L12" s="21" t="str">
        <f t="shared" si="5"/>
        <v/>
      </c>
      <c r="M12" s="27"/>
      <c r="N12" s="20" t="str">
        <f t="shared" si="6"/>
        <v/>
      </c>
      <c r="O12" s="21" t="str">
        <f t="shared" si="7"/>
        <v/>
      </c>
      <c r="P12" s="27"/>
      <c r="Q12" s="20" t="str">
        <f t="shared" si="8"/>
        <v/>
      </c>
      <c r="R12" s="19" t="str">
        <f t="shared" si="9"/>
        <v/>
      </c>
      <c r="S12" s="47"/>
    </row>
    <row r="13" spans="2:27" ht="45" customHeight="1">
      <c r="B13" s="48"/>
      <c r="C13" s="19" t="s">
        <v>3</v>
      </c>
      <c r="D13" s="25"/>
      <c r="E13" s="20" t="str">
        <f t="shared" si="0"/>
        <v/>
      </c>
      <c r="F13" s="21" t="str">
        <f t="shared" si="1"/>
        <v/>
      </c>
      <c r="G13" s="27"/>
      <c r="H13" s="20" t="str">
        <f t="shared" si="2"/>
        <v/>
      </c>
      <c r="I13" s="21" t="str">
        <f t="shared" si="3"/>
        <v/>
      </c>
      <c r="J13" s="27"/>
      <c r="K13" s="20" t="str">
        <f t="shared" si="4"/>
        <v/>
      </c>
      <c r="L13" s="21" t="str">
        <f t="shared" si="5"/>
        <v/>
      </c>
      <c r="M13" s="27"/>
      <c r="N13" s="20" t="str">
        <f t="shared" si="6"/>
        <v/>
      </c>
      <c r="O13" s="21" t="str">
        <f t="shared" si="7"/>
        <v/>
      </c>
      <c r="P13" s="27"/>
      <c r="Q13" s="20" t="str">
        <f t="shared" si="8"/>
        <v/>
      </c>
      <c r="R13" s="19" t="str">
        <f t="shared" si="9"/>
        <v/>
      </c>
      <c r="S13" s="47"/>
    </row>
    <row r="14" spans="2:27" ht="45" customHeight="1">
      <c r="B14" s="48"/>
      <c r="C14" s="19" t="s">
        <v>3</v>
      </c>
      <c r="D14" s="25"/>
      <c r="E14" s="20" t="str">
        <f t="shared" ref="E14:E29" si="10">IF(ISBLANK(D14),"",VLOOKUP(D14,氏名,2,0))</f>
        <v/>
      </c>
      <c r="F14" s="21" t="str">
        <f t="shared" ref="F14:F29" si="11">IF(ISBLANK(D14),"",VLOOKUP(D14,氏名,3,0))</f>
        <v/>
      </c>
      <c r="G14" s="27"/>
      <c r="H14" s="20" t="str">
        <f t="shared" ref="H14:H29" si="12">IF(ISBLANK(G14),"",VLOOKUP(G14,氏名,2,0))</f>
        <v/>
      </c>
      <c r="I14" s="21" t="str">
        <f t="shared" ref="I14:I29" si="13">IF(ISBLANK(G14),"",VLOOKUP(G14,氏名,3,0))</f>
        <v/>
      </c>
      <c r="J14" s="27"/>
      <c r="K14" s="20" t="str">
        <f t="shared" ref="K14:K29" si="14">IF(ISBLANK(J14),"",VLOOKUP(J14,氏名,2,0))</f>
        <v/>
      </c>
      <c r="L14" s="21" t="str">
        <f t="shared" ref="L14:L29" si="15">IF(ISBLANK(J14),"",VLOOKUP(J14,氏名,3,0))</f>
        <v/>
      </c>
      <c r="M14" s="27"/>
      <c r="N14" s="20" t="str">
        <f t="shared" ref="N14:N29" si="16">IF(ISBLANK(M14),"",VLOOKUP(M14,氏名,2,0))</f>
        <v/>
      </c>
      <c r="O14" s="21" t="str">
        <f t="shared" ref="O14:O29" si="17">IF(ISBLANK(M14),"",VLOOKUP(M14,氏名,3,0))</f>
        <v/>
      </c>
      <c r="P14" s="27"/>
      <c r="Q14" s="20" t="str">
        <f t="shared" ref="Q14:Q29" si="18">IF(ISBLANK(P14),"",VLOOKUP(P14,氏名,2,0))</f>
        <v/>
      </c>
      <c r="R14" s="19" t="str">
        <f t="shared" ref="R14:R29" si="19">IF(ISBLANK(P14),"",VLOOKUP(P14,氏名,3,0))</f>
        <v/>
      </c>
      <c r="S14" s="47"/>
    </row>
    <row r="15" spans="2:27" ht="45" customHeight="1">
      <c r="B15" s="48"/>
      <c r="C15" s="19" t="s">
        <v>3</v>
      </c>
      <c r="D15" s="25"/>
      <c r="E15" s="20" t="str">
        <f t="shared" si="10"/>
        <v/>
      </c>
      <c r="F15" s="21" t="str">
        <f t="shared" si="11"/>
        <v/>
      </c>
      <c r="G15" s="27"/>
      <c r="H15" s="20" t="str">
        <f t="shared" si="12"/>
        <v/>
      </c>
      <c r="I15" s="21" t="str">
        <f t="shared" si="13"/>
        <v/>
      </c>
      <c r="J15" s="27"/>
      <c r="K15" s="20" t="str">
        <f t="shared" si="14"/>
        <v/>
      </c>
      <c r="L15" s="21" t="str">
        <f t="shared" si="15"/>
        <v/>
      </c>
      <c r="M15" s="27"/>
      <c r="N15" s="20" t="str">
        <f t="shared" si="16"/>
        <v/>
      </c>
      <c r="O15" s="21" t="str">
        <f t="shared" si="17"/>
        <v/>
      </c>
      <c r="P15" s="27"/>
      <c r="Q15" s="20" t="str">
        <f t="shared" si="18"/>
        <v/>
      </c>
      <c r="R15" s="19" t="str">
        <f t="shared" si="19"/>
        <v/>
      </c>
      <c r="S15" s="47"/>
    </row>
    <row r="16" spans="2:27" ht="45" customHeight="1">
      <c r="B16" s="48"/>
      <c r="C16" s="19" t="s">
        <v>3</v>
      </c>
      <c r="D16" s="25"/>
      <c r="E16" s="20" t="str">
        <f t="shared" si="10"/>
        <v/>
      </c>
      <c r="F16" s="21" t="str">
        <f t="shared" si="11"/>
        <v/>
      </c>
      <c r="G16" s="27"/>
      <c r="H16" s="20" t="str">
        <f t="shared" si="12"/>
        <v/>
      </c>
      <c r="I16" s="21" t="str">
        <f t="shared" si="13"/>
        <v/>
      </c>
      <c r="J16" s="27"/>
      <c r="K16" s="20" t="str">
        <f t="shared" si="14"/>
        <v/>
      </c>
      <c r="L16" s="21" t="str">
        <f t="shared" si="15"/>
        <v/>
      </c>
      <c r="M16" s="27"/>
      <c r="N16" s="20" t="str">
        <f t="shared" si="16"/>
        <v/>
      </c>
      <c r="O16" s="21" t="str">
        <f t="shared" si="17"/>
        <v/>
      </c>
      <c r="P16" s="27"/>
      <c r="Q16" s="20" t="str">
        <f t="shared" si="18"/>
        <v/>
      </c>
      <c r="R16" s="19" t="str">
        <f t="shared" si="19"/>
        <v/>
      </c>
      <c r="S16" s="47"/>
    </row>
    <row r="17" spans="2:19" ht="45" customHeight="1">
      <c r="B17" s="48"/>
      <c r="C17" s="19" t="s">
        <v>3</v>
      </c>
      <c r="D17" s="25"/>
      <c r="E17" s="20" t="str">
        <f t="shared" si="10"/>
        <v/>
      </c>
      <c r="F17" s="21" t="str">
        <f t="shared" si="11"/>
        <v/>
      </c>
      <c r="G17" s="27"/>
      <c r="H17" s="20" t="str">
        <f t="shared" si="12"/>
        <v/>
      </c>
      <c r="I17" s="21" t="str">
        <f t="shared" si="13"/>
        <v/>
      </c>
      <c r="J17" s="27"/>
      <c r="K17" s="20" t="str">
        <f t="shared" si="14"/>
        <v/>
      </c>
      <c r="L17" s="21" t="str">
        <f t="shared" si="15"/>
        <v/>
      </c>
      <c r="M17" s="27"/>
      <c r="N17" s="20" t="str">
        <f t="shared" si="16"/>
        <v/>
      </c>
      <c r="O17" s="21" t="str">
        <f t="shared" si="17"/>
        <v/>
      </c>
      <c r="P17" s="27"/>
      <c r="Q17" s="20" t="str">
        <f t="shared" si="18"/>
        <v/>
      </c>
      <c r="R17" s="19" t="str">
        <f t="shared" si="19"/>
        <v/>
      </c>
      <c r="S17" s="47"/>
    </row>
    <row r="18" spans="2:19" ht="45" customHeight="1">
      <c r="B18" s="48"/>
      <c r="C18" s="19" t="s">
        <v>3</v>
      </c>
      <c r="D18" s="25"/>
      <c r="E18" s="20" t="str">
        <f t="shared" si="10"/>
        <v/>
      </c>
      <c r="F18" s="21" t="str">
        <f t="shared" si="11"/>
        <v/>
      </c>
      <c r="G18" s="27"/>
      <c r="H18" s="20" t="str">
        <f t="shared" si="12"/>
        <v/>
      </c>
      <c r="I18" s="21" t="str">
        <f t="shared" si="13"/>
        <v/>
      </c>
      <c r="J18" s="27"/>
      <c r="K18" s="20" t="str">
        <f t="shared" si="14"/>
        <v/>
      </c>
      <c r="L18" s="21" t="str">
        <f t="shared" si="15"/>
        <v/>
      </c>
      <c r="M18" s="27"/>
      <c r="N18" s="20" t="str">
        <f t="shared" si="16"/>
        <v/>
      </c>
      <c r="O18" s="21" t="str">
        <f t="shared" si="17"/>
        <v/>
      </c>
      <c r="P18" s="27"/>
      <c r="Q18" s="20" t="str">
        <f t="shared" si="18"/>
        <v/>
      </c>
      <c r="R18" s="19" t="str">
        <f t="shared" si="19"/>
        <v/>
      </c>
      <c r="S18" s="47"/>
    </row>
    <row r="19" spans="2:19" ht="45" customHeight="1">
      <c r="B19" s="48"/>
      <c r="C19" s="19" t="s">
        <v>3</v>
      </c>
      <c r="D19" s="25"/>
      <c r="E19" s="20" t="str">
        <f t="shared" si="10"/>
        <v/>
      </c>
      <c r="F19" s="21" t="str">
        <f t="shared" si="11"/>
        <v/>
      </c>
      <c r="G19" s="27"/>
      <c r="H19" s="20" t="str">
        <f t="shared" si="12"/>
        <v/>
      </c>
      <c r="I19" s="21" t="str">
        <f t="shared" si="13"/>
        <v/>
      </c>
      <c r="J19" s="27"/>
      <c r="K19" s="20" t="str">
        <f t="shared" si="14"/>
        <v/>
      </c>
      <c r="L19" s="21" t="str">
        <f t="shared" si="15"/>
        <v/>
      </c>
      <c r="M19" s="27"/>
      <c r="N19" s="20" t="str">
        <f t="shared" si="16"/>
        <v/>
      </c>
      <c r="O19" s="21" t="str">
        <f t="shared" si="17"/>
        <v/>
      </c>
      <c r="P19" s="27"/>
      <c r="Q19" s="20" t="str">
        <f t="shared" si="18"/>
        <v/>
      </c>
      <c r="R19" s="19" t="str">
        <f t="shared" si="19"/>
        <v/>
      </c>
      <c r="S19" s="47"/>
    </row>
    <row r="20" spans="2:19" ht="45" customHeight="1">
      <c r="B20" s="48"/>
      <c r="C20" s="19" t="s">
        <v>6</v>
      </c>
      <c r="D20" s="25"/>
      <c r="E20" s="20" t="str">
        <f t="shared" si="10"/>
        <v/>
      </c>
      <c r="F20" s="21" t="str">
        <f t="shared" si="11"/>
        <v/>
      </c>
      <c r="G20" s="27"/>
      <c r="H20" s="20" t="str">
        <f t="shared" si="12"/>
        <v/>
      </c>
      <c r="I20" s="21" t="str">
        <f t="shared" si="13"/>
        <v/>
      </c>
      <c r="J20" s="27"/>
      <c r="K20" s="20" t="str">
        <f t="shared" si="14"/>
        <v/>
      </c>
      <c r="L20" s="21" t="str">
        <f t="shared" si="15"/>
        <v/>
      </c>
      <c r="M20" s="27"/>
      <c r="N20" s="20" t="str">
        <f t="shared" si="16"/>
        <v/>
      </c>
      <c r="O20" s="21" t="str">
        <f t="shared" si="17"/>
        <v/>
      </c>
      <c r="P20" s="27"/>
      <c r="Q20" s="20" t="str">
        <f t="shared" si="18"/>
        <v/>
      </c>
      <c r="R20" s="19" t="str">
        <f t="shared" si="19"/>
        <v/>
      </c>
      <c r="S20" s="47"/>
    </row>
    <row r="21" spans="2:19" ht="45" customHeight="1">
      <c r="B21" s="48"/>
      <c r="C21" s="19" t="s">
        <v>3</v>
      </c>
      <c r="D21" s="25"/>
      <c r="E21" s="20" t="str">
        <f t="shared" si="10"/>
        <v/>
      </c>
      <c r="F21" s="21" t="str">
        <f t="shared" si="11"/>
        <v/>
      </c>
      <c r="G21" s="27"/>
      <c r="H21" s="20" t="str">
        <f t="shared" si="12"/>
        <v/>
      </c>
      <c r="I21" s="21" t="str">
        <f t="shared" si="13"/>
        <v/>
      </c>
      <c r="J21" s="27"/>
      <c r="K21" s="20" t="str">
        <f t="shared" si="14"/>
        <v/>
      </c>
      <c r="L21" s="21" t="str">
        <f t="shared" si="15"/>
        <v/>
      </c>
      <c r="M21" s="27"/>
      <c r="N21" s="20" t="str">
        <f t="shared" si="16"/>
        <v/>
      </c>
      <c r="O21" s="21" t="str">
        <f t="shared" si="17"/>
        <v/>
      </c>
      <c r="P21" s="27"/>
      <c r="Q21" s="20" t="str">
        <f t="shared" si="18"/>
        <v/>
      </c>
      <c r="R21" s="19" t="str">
        <f t="shared" si="19"/>
        <v/>
      </c>
      <c r="S21" s="47"/>
    </row>
    <row r="22" spans="2:19" ht="45" customHeight="1">
      <c r="B22" s="48"/>
      <c r="C22" s="19" t="s">
        <v>3</v>
      </c>
      <c r="D22" s="25"/>
      <c r="E22" s="20" t="str">
        <f t="shared" si="10"/>
        <v/>
      </c>
      <c r="F22" s="21" t="str">
        <f t="shared" si="11"/>
        <v/>
      </c>
      <c r="G22" s="27"/>
      <c r="H22" s="20" t="str">
        <f t="shared" si="12"/>
        <v/>
      </c>
      <c r="I22" s="21" t="str">
        <f t="shared" si="13"/>
        <v/>
      </c>
      <c r="J22" s="27"/>
      <c r="K22" s="20" t="str">
        <f t="shared" si="14"/>
        <v/>
      </c>
      <c r="L22" s="21" t="str">
        <f t="shared" si="15"/>
        <v/>
      </c>
      <c r="M22" s="27"/>
      <c r="N22" s="20" t="str">
        <f t="shared" si="16"/>
        <v/>
      </c>
      <c r="O22" s="21" t="str">
        <f t="shared" si="17"/>
        <v/>
      </c>
      <c r="P22" s="27"/>
      <c r="Q22" s="20" t="str">
        <f t="shared" si="18"/>
        <v/>
      </c>
      <c r="R22" s="19" t="str">
        <f t="shared" si="19"/>
        <v/>
      </c>
      <c r="S22" s="47"/>
    </row>
    <row r="23" spans="2:19" ht="45" customHeight="1">
      <c r="B23" s="48"/>
      <c r="C23" s="19" t="s">
        <v>3</v>
      </c>
      <c r="D23" s="25"/>
      <c r="E23" s="20" t="str">
        <f t="shared" si="10"/>
        <v/>
      </c>
      <c r="F23" s="21" t="str">
        <f t="shared" si="11"/>
        <v/>
      </c>
      <c r="G23" s="27"/>
      <c r="H23" s="20" t="str">
        <f t="shared" si="12"/>
        <v/>
      </c>
      <c r="I23" s="21" t="str">
        <f t="shared" si="13"/>
        <v/>
      </c>
      <c r="J23" s="27"/>
      <c r="K23" s="20" t="str">
        <f t="shared" si="14"/>
        <v/>
      </c>
      <c r="L23" s="21" t="str">
        <f t="shared" si="15"/>
        <v/>
      </c>
      <c r="M23" s="27"/>
      <c r="N23" s="20" t="str">
        <f t="shared" si="16"/>
        <v/>
      </c>
      <c r="O23" s="21" t="str">
        <f t="shared" si="17"/>
        <v/>
      </c>
      <c r="P23" s="27"/>
      <c r="Q23" s="20" t="str">
        <f t="shared" si="18"/>
        <v/>
      </c>
      <c r="R23" s="19" t="str">
        <f t="shared" si="19"/>
        <v/>
      </c>
      <c r="S23" s="47"/>
    </row>
    <row r="24" spans="2:19" ht="45" customHeight="1">
      <c r="B24" s="48"/>
      <c r="C24" s="19" t="s">
        <v>3</v>
      </c>
      <c r="D24" s="25"/>
      <c r="E24" s="20" t="str">
        <f t="shared" ref="E24" si="20">IF(ISBLANK(D24),"",VLOOKUP(D24,氏名,2,0))</f>
        <v/>
      </c>
      <c r="F24" s="21" t="str">
        <f t="shared" ref="F24" si="21">IF(ISBLANK(D24),"",VLOOKUP(D24,氏名,3,0))</f>
        <v/>
      </c>
      <c r="G24" s="27"/>
      <c r="H24" s="20" t="str">
        <f t="shared" ref="H24" si="22">IF(ISBLANK(G24),"",VLOOKUP(G24,氏名,2,0))</f>
        <v/>
      </c>
      <c r="I24" s="21" t="str">
        <f t="shared" ref="I24" si="23">IF(ISBLANK(G24),"",VLOOKUP(G24,氏名,3,0))</f>
        <v/>
      </c>
      <c r="J24" s="27"/>
      <c r="K24" s="20" t="str">
        <f t="shared" ref="K24" si="24">IF(ISBLANK(J24),"",VLOOKUP(J24,氏名,2,0))</f>
        <v/>
      </c>
      <c r="L24" s="21" t="str">
        <f t="shared" ref="L24" si="25">IF(ISBLANK(J24),"",VLOOKUP(J24,氏名,3,0))</f>
        <v/>
      </c>
      <c r="M24" s="27"/>
      <c r="N24" s="20" t="str">
        <f t="shared" ref="N24" si="26">IF(ISBLANK(M24),"",VLOOKUP(M24,氏名,2,0))</f>
        <v/>
      </c>
      <c r="O24" s="21" t="str">
        <f t="shared" ref="O24" si="27">IF(ISBLANK(M24),"",VLOOKUP(M24,氏名,3,0))</f>
        <v/>
      </c>
      <c r="P24" s="27"/>
      <c r="Q24" s="20" t="str">
        <f t="shared" ref="Q24" si="28">IF(ISBLANK(P24),"",VLOOKUP(P24,氏名,2,0))</f>
        <v/>
      </c>
      <c r="R24" s="19" t="str">
        <f t="shared" ref="R24" si="29">IF(ISBLANK(P24),"",VLOOKUP(P24,氏名,3,0))</f>
        <v/>
      </c>
      <c r="S24" s="47"/>
    </row>
    <row r="25" spans="2:19" ht="45" customHeight="1">
      <c r="B25" s="48"/>
      <c r="C25" s="19" t="s">
        <v>3</v>
      </c>
      <c r="D25" s="25"/>
      <c r="E25" s="20" t="str">
        <f t="shared" si="10"/>
        <v/>
      </c>
      <c r="F25" s="21" t="str">
        <f t="shared" si="11"/>
        <v/>
      </c>
      <c r="G25" s="27"/>
      <c r="H25" s="20" t="str">
        <f t="shared" si="12"/>
        <v/>
      </c>
      <c r="I25" s="21" t="str">
        <f t="shared" si="13"/>
        <v/>
      </c>
      <c r="J25" s="27"/>
      <c r="K25" s="20" t="str">
        <f t="shared" si="14"/>
        <v/>
      </c>
      <c r="L25" s="21" t="str">
        <f t="shared" si="15"/>
        <v/>
      </c>
      <c r="M25" s="27"/>
      <c r="N25" s="20" t="str">
        <f t="shared" si="16"/>
        <v/>
      </c>
      <c r="O25" s="21" t="str">
        <f t="shared" si="17"/>
        <v/>
      </c>
      <c r="P25" s="27"/>
      <c r="Q25" s="20" t="str">
        <f t="shared" si="18"/>
        <v/>
      </c>
      <c r="R25" s="19" t="str">
        <f t="shared" si="19"/>
        <v/>
      </c>
      <c r="S25" s="47"/>
    </row>
    <row r="26" spans="2:19" ht="45" customHeight="1">
      <c r="B26" s="48"/>
      <c r="C26" s="19" t="s">
        <v>3</v>
      </c>
      <c r="D26" s="25"/>
      <c r="E26" s="20" t="str">
        <f t="shared" si="10"/>
        <v/>
      </c>
      <c r="F26" s="21" t="str">
        <f t="shared" si="11"/>
        <v/>
      </c>
      <c r="G26" s="27"/>
      <c r="H26" s="20" t="str">
        <f t="shared" si="12"/>
        <v/>
      </c>
      <c r="I26" s="21" t="str">
        <f t="shared" si="13"/>
        <v/>
      </c>
      <c r="J26" s="27"/>
      <c r="K26" s="20" t="str">
        <f t="shared" si="14"/>
        <v/>
      </c>
      <c r="L26" s="21" t="str">
        <f t="shared" si="15"/>
        <v/>
      </c>
      <c r="M26" s="27"/>
      <c r="N26" s="20" t="str">
        <f t="shared" si="16"/>
        <v/>
      </c>
      <c r="O26" s="21" t="str">
        <f t="shared" si="17"/>
        <v/>
      </c>
      <c r="P26" s="27"/>
      <c r="Q26" s="20" t="str">
        <f t="shared" si="18"/>
        <v/>
      </c>
      <c r="R26" s="19" t="str">
        <f t="shared" si="19"/>
        <v/>
      </c>
      <c r="S26" s="47"/>
    </row>
    <row r="27" spans="2:19" ht="45" customHeight="1">
      <c r="B27" s="48"/>
      <c r="C27" s="19" t="s">
        <v>3</v>
      </c>
      <c r="D27" s="25"/>
      <c r="E27" s="20" t="str">
        <f t="shared" si="10"/>
        <v/>
      </c>
      <c r="F27" s="21" t="str">
        <f t="shared" si="11"/>
        <v/>
      </c>
      <c r="G27" s="27"/>
      <c r="H27" s="20" t="str">
        <f t="shared" si="12"/>
        <v/>
      </c>
      <c r="I27" s="21" t="str">
        <f t="shared" si="13"/>
        <v/>
      </c>
      <c r="J27" s="27"/>
      <c r="K27" s="20" t="str">
        <f t="shared" si="14"/>
        <v/>
      </c>
      <c r="L27" s="21" t="str">
        <f t="shared" si="15"/>
        <v/>
      </c>
      <c r="M27" s="27"/>
      <c r="N27" s="20" t="str">
        <f t="shared" si="16"/>
        <v/>
      </c>
      <c r="O27" s="21" t="str">
        <f t="shared" si="17"/>
        <v/>
      </c>
      <c r="P27" s="27"/>
      <c r="Q27" s="20" t="str">
        <f t="shared" si="18"/>
        <v/>
      </c>
      <c r="R27" s="19" t="str">
        <f t="shared" si="19"/>
        <v/>
      </c>
      <c r="S27" s="47"/>
    </row>
    <row r="28" spans="2:19" ht="45" customHeight="1">
      <c r="B28" s="48"/>
      <c r="C28" s="19" t="s">
        <v>3</v>
      </c>
      <c r="D28" s="25"/>
      <c r="E28" s="20" t="str">
        <f t="shared" si="10"/>
        <v/>
      </c>
      <c r="F28" s="21" t="str">
        <f t="shared" si="11"/>
        <v/>
      </c>
      <c r="G28" s="27"/>
      <c r="H28" s="20" t="str">
        <f t="shared" si="12"/>
        <v/>
      </c>
      <c r="I28" s="21" t="str">
        <f t="shared" si="13"/>
        <v/>
      </c>
      <c r="J28" s="27"/>
      <c r="K28" s="20" t="str">
        <f t="shared" si="14"/>
        <v/>
      </c>
      <c r="L28" s="21" t="str">
        <f t="shared" si="15"/>
        <v/>
      </c>
      <c r="M28" s="27"/>
      <c r="N28" s="20" t="str">
        <f t="shared" si="16"/>
        <v/>
      </c>
      <c r="O28" s="21" t="str">
        <f t="shared" si="17"/>
        <v/>
      </c>
      <c r="P28" s="27"/>
      <c r="Q28" s="20" t="str">
        <f t="shared" si="18"/>
        <v/>
      </c>
      <c r="R28" s="19" t="str">
        <f t="shared" si="19"/>
        <v/>
      </c>
      <c r="S28" s="47"/>
    </row>
    <row r="29" spans="2:19" ht="45" customHeight="1">
      <c r="B29" s="48"/>
      <c r="C29" s="19" t="s">
        <v>3</v>
      </c>
      <c r="D29" s="25"/>
      <c r="E29" s="20" t="str">
        <f t="shared" si="10"/>
        <v/>
      </c>
      <c r="F29" s="21" t="str">
        <f t="shared" si="11"/>
        <v/>
      </c>
      <c r="G29" s="27"/>
      <c r="H29" s="20" t="str">
        <f t="shared" si="12"/>
        <v/>
      </c>
      <c r="I29" s="21" t="str">
        <f t="shared" si="13"/>
        <v/>
      </c>
      <c r="J29" s="27"/>
      <c r="K29" s="20" t="str">
        <f t="shared" si="14"/>
        <v/>
      </c>
      <c r="L29" s="21" t="str">
        <f t="shared" si="15"/>
        <v/>
      </c>
      <c r="M29" s="27"/>
      <c r="N29" s="20" t="str">
        <f t="shared" si="16"/>
        <v/>
      </c>
      <c r="O29" s="21" t="str">
        <f t="shared" si="17"/>
        <v/>
      </c>
      <c r="P29" s="27"/>
      <c r="Q29" s="20" t="str">
        <f t="shared" si="18"/>
        <v/>
      </c>
      <c r="R29" s="19" t="str">
        <f t="shared" si="19"/>
        <v/>
      </c>
      <c r="S29" s="47"/>
    </row>
    <row r="30" spans="2:19" ht="45" customHeight="1">
      <c r="B30" s="48"/>
      <c r="C30" s="19" t="s">
        <v>3</v>
      </c>
      <c r="D30" s="25"/>
      <c r="E30" s="20" t="str">
        <f t="shared" si="0"/>
        <v/>
      </c>
      <c r="F30" s="21" t="str">
        <f t="shared" si="1"/>
        <v/>
      </c>
      <c r="G30" s="27"/>
      <c r="H30" s="20" t="str">
        <f t="shared" si="2"/>
        <v/>
      </c>
      <c r="I30" s="21" t="str">
        <f t="shared" si="3"/>
        <v/>
      </c>
      <c r="J30" s="27"/>
      <c r="K30" s="20" t="str">
        <f t="shared" si="4"/>
        <v/>
      </c>
      <c r="L30" s="21" t="str">
        <f t="shared" si="5"/>
        <v/>
      </c>
      <c r="M30" s="27"/>
      <c r="N30" s="20" t="str">
        <f t="shared" si="6"/>
        <v/>
      </c>
      <c r="O30" s="21" t="str">
        <f t="shared" si="7"/>
        <v/>
      </c>
      <c r="P30" s="27"/>
      <c r="Q30" s="20" t="str">
        <f t="shared" si="8"/>
        <v/>
      </c>
      <c r="R30" s="19" t="str">
        <f t="shared" si="9"/>
        <v/>
      </c>
      <c r="S30" s="47"/>
    </row>
    <row r="31" spans="2:19" ht="45" customHeight="1">
      <c r="B31" s="48"/>
      <c r="C31" s="19" t="s">
        <v>3</v>
      </c>
      <c r="D31" s="25"/>
      <c r="E31" s="20" t="str">
        <f t="shared" si="0"/>
        <v/>
      </c>
      <c r="F31" s="21" t="str">
        <f t="shared" si="1"/>
        <v/>
      </c>
      <c r="G31" s="27"/>
      <c r="H31" s="20" t="str">
        <f t="shared" si="2"/>
        <v/>
      </c>
      <c r="I31" s="21" t="str">
        <f t="shared" si="3"/>
        <v/>
      </c>
      <c r="J31" s="27"/>
      <c r="K31" s="20" t="str">
        <f t="shared" si="4"/>
        <v/>
      </c>
      <c r="L31" s="21" t="str">
        <f t="shared" si="5"/>
        <v/>
      </c>
      <c r="M31" s="27"/>
      <c r="N31" s="20" t="str">
        <f t="shared" si="6"/>
        <v/>
      </c>
      <c r="O31" s="21" t="str">
        <f t="shared" si="7"/>
        <v/>
      </c>
      <c r="P31" s="27"/>
      <c r="Q31" s="20" t="str">
        <f t="shared" si="8"/>
        <v/>
      </c>
      <c r="R31" s="19" t="str">
        <f t="shared" si="9"/>
        <v/>
      </c>
      <c r="S31" s="47"/>
    </row>
    <row r="32" spans="2:19" ht="45" customHeight="1">
      <c r="B32" s="48"/>
      <c r="C32" s="19" t="s">
        <v>3</v>
      </c>
      <c r="D32" s="25"/>
      <c r="E32" s="20" t="str">
        <f t="shared" ref="E32:E33" si="30">IF(ISBLANK(D32),"",VLOOKUP(D32,氏名,2,0))</f>
        <v/>
      </c>
      <c r="F32" s="21" t="str">
        <f t="shared" ref="F32:F33" si="31">IF(ISBLANK(D32),"",VLOOKUP(D32,氏名,3,0))</f>
        <v/>
      </c>
      <c r="G32" s="27"/>
      <c r="H32" s="20" t="str">
        <f t="shared" ref="H32:H33" si="32">IF(ISBLANK(G32),"",VLOOKUP(G32,氏名,2,0))</f>
        <v/>
      </c>
      <c r="I32" s="21" t="str">
        <f t="shared" ref="I32:I33" si="33">IF(ISBLANK(G32),"",VLOOKUP(G32,氏名,3,0))</f>
        <v/>
      </c>
      <c r="J32" s="27"/>
      <c r="K32" s="20" t="str">
        <f t="shared" ref="K32:K33" si="34">IF(ISBLANK(J32),"",VLOOKUP(J32,氏名,2,0))</f>
        <v/>
      </c>
      <c r="L32" s="21" t="str">
        <f t="shared" ref="L32:L33" si="35">IF(ISBLANK(J32),"",VLOOKUP(J32,氏名,3,0))</f>
        <v/>
      </c>
      <c r="M32" s="27"/>
      <c r="N32" s="20" t="str">
        <f t="shared" ref="N32:N33" si="36">IF(ISBLANK(M32),"",VLOOKUP(M32,氏名,2,0))</f>
        <v/>
      </c>
      <c r="O32" s="21" t="str">
        <f t="shared" ref="O32:O33" si="37">IF(ISBLANK(M32),"",VLOOKUP(M32,氏名,3,0))</f>
        <v/>
      </c>
      <c r="P32" s="27"/>
      <c r="Q32" s="20" t="str">
        <f t="shared" ref="Q32:Q33" si="38">IF(ISBLANK(P32),"",VLOOKUP(P32,氏名,2,0))</f>
        <v/>
      </c>
      <c r="R32" s="19" t="str">
        <f t="shared" ref="R32:R33" si="39">IF(ISBLANK(P32),"",VLOOKUP(P32,氏名,3,0))</f>
        <v/>
      </c>
      <c r="S32" s="47"/>
    </row>
    <row r="33" spans="2:19" ht="45" customHeight="1">
      <c r="B33" s="48"/>
      <c r="C33" s="19" t="s">
        <v>3</v>
      </c>
      <c r="D33" s="25"/>
      <c r="E33" s="20" t="str">
        <f t="shared" si="30"/>
        <v/>
      </c>
      <c r="F33" s="21" t="str">
        <f t="shared" si="31"/>
        <v/>
      </c>
      <c r="G33" s="27"/>
      <c r="H33" s="20" t="str">
        <f t="shared" si="32"/>
        <v/>
      </c>
      <c r="I33" s="21" t="str">
        <f t="shared" si="33"/>
        <v/>
      </c>
      <c r="J33" s="27"/>
      <c r="K33" s="20" t="str">
        <f t="shared" si="34"/>
        <v/>
      </c>
      <c r="L33" s="21" t="str">
        <f t="shared" si="35"/>
        <v/>
      </c>
      <c r="M33" s="27"/>
      <c r="N33" s="20" t="str">
        <f t="shared" si="36"/>
        <v/>
      </c>
      <c r="O33" s="21" t="str">
        <f t="shared" si="37"/>
        <v/>
      </c>
      <c r="P33" s="27"/>
      <c r="Q33" s="20" t="str">
        <f t="shared" si="38"/>
        <v/>
      </c>
      <c r="R33" s="19" t="str">
        <f t="shared" si="39"/>
        <v/>
      </c>
      <c r="S33" s="47"/>
    </row>
    <row r="34" spans="2:19" ht="45" customHeight="1">
      <c r="B34" s="48"/>
      <c r="C34" s="19" t="s">
        <v>3</v>
      </c>
      <c r="D34" s="25"/>
      <c r="E34" s="20" t="str">
        <f t="shared" si="0"/>
        <v/>
      </c>
      <c r="F34" s="21" t="str">
        <f t="shared" si="1"/>
        <v/>
      </c>
      <c r="G34" s="27"/>
      <c r="H34" s="20" t="str">
        <f t="shared" si="2"/>
        <v/>
      </c>
      <c r="I34" s="21" t="str">
        <f t="shared" si="3"/>
        <v/>
      </c>
      <c r="J34" s="27"/>
      <c r="K34" s="20" t="str">
        <f t="shared" si="4"/>
        <v/>
      </c>
      <c r="L34" s="21" t="str">
        <f t="shared" si="5"/>
        <v/>
      </c>
      <c r="M34" s="27"/>
      <c r="N34" s="20" t="str">
        <f t="shared" si="6"/>
        <v/>
      </c>
      <c r="O34" s="21" t="str">
        <f t="shared" si="7"/>
        <v/>
      </c>
      <c r="P34" s="27"/>
      <c r="Q34" s="20" t="str">
        <f t="shared" si="8"/>
        <v/>
      </c>
      <c r="R34" s="19" t="str">
        <f t="shared" si="9"/>
        <v/>
      </c>
      <c r="S34" s="47"/>
    </row>
    <row r="35" spans="2:19" ht="45" customHeight="1" thickBot="1">
      <c r="B35" s="49"/>
      <c r="C35" s="22"/>
      <c r="D35" s="26"/>
      <c r="E35" s="23" t="str">
        <f t="shared" si="0"/>
        <v/>
      </c>
      <c r="F35" s="24" t="str">
        <f t="shared" si="1"/>
        <v/>
      </c>
      <c r="G35" s="28"/>
      <c r="H35" s="23" t="str">
        <f t="shared" si="2"/>
        <v/>
      </c>
      <c r="I35" s="24" t="str">
        <f t="shared" si="3"/>
        <v/>
      </c>
      <c r="J35" s="28"/>
      <c r="K35" s="23" t="str">
        <f t="shared" si="4"/>
        <v/>
      </c>
      <c r="L35" s="24" t="str">
        <f t="shared" si="5"/>
        <v/>
      </c>
      <c r="M35" s="28"/>
      <c r="N35" s="23" t="str">
        <f t="shared" si="6"/>
        <v/>
      </c>
      <c r="O35" s="24" t="str">
        <f t="shared" si="7"/>
        <v/>
      </c>
      <c r="P35" s="28"/>
      <c r="Q35" s="23" t="str">
        <f t="shared" si="8"/>
        <v/>
      </c>
      <c r="R35" s="22" t="str">
        <f t="shared" si="9"/>
        <v/>
      </c>
      <c r="S35" s="47"/>
    </row>
    <row r="36" spans="2:19" ht="10.5" customHeight="1">
      <c r="B36" s="9"/>
      <c r="C36" s="8"/>
      <c r="E36" s="8" t="str">
        <f t="shared" si="0"/>
        <v/>
      </c>
      <c r="F36" s="8" t="str">
        <f t="shared" si="1"/>
        <v/>
      </c>
      <c r="G36" s="8"/>
      <c r="H36" s="8" t="str">
        <f t="shared" si="2"/>
        <v/>
      </c>
      <c r="I36" s="8" t="str">
        <f t="shared" si="3"/>
        <v/>
      </c>
      <c r="J36" s="8"/>
      <c r="K36" s="8" t="str">
        <f t="shared" si="4"/>
        <v/>
      </c>
      <c r="L36" s="8" t="str">
        <f t="shared" si="5"/>
        <v/>
      </c>
      <c r="M36" s="8"/>
      <c r="N36" s="8" t="str">
        <f t="shared" si="6"/>
        <v/>
      </c>
      <c r="O36" s="8" t="str">
        <f t="shared" si="7"/>
        <v/>
      </c>
      <c r="P36" s="8"/>
      <c r="Q36" s="8" t="str">
        <f t="shared" si="8"/>
        <v/>
      </c>
      <c r="R36" s="8" t="str">
        <f t="shared" si="9"/>
        <v/>
      </c>
    </row>
    <row r="37" spans="2:19" ht="20.25" customHeight="1">
      <c r="B37" s="74"/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</row>
    <row r="38" spans="2:19">
      <c r="B38" s="75"/>
      <c r="C38" s="75"/>
      <c r="D38" s="75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</row>
    <row r="39" spans="2:19">
      <c r="B39" s="75"/>
      <c r="C39" s="75"/>
      <c r="D39" s="75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</row>
    <row r="40" spans="2:19">
      <c r="B40" s="75"/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</row>
    <row r="41" spans="2:19">
      <c r="B41" s="75"/>
      <c r="C41" s="75"/>
      <c r="D41" s="75"/>
      <c r="E41" s="75"/>
      <c r="F41" s="75"/>
      <c r="G41" s="75"/>
      <c r="H41" s="75"/>
      <c r="I41" s="75"/>
      <c r="J41" s="75"/>
      <c r="K41" s="75"/>
      <c r="L41" s="75"/>
      <c r="M41" s="75"/>
      <c r="N41" s="75"/>
      <c r="O41" s="75"/>
      <c r="P41" s="75"/>
      <c r="Q41" s="75"/>
      <c r="R41" s="75"/>
    </row>
    <row r="42" spans="2:19">
      <c r="B42" s="75"/>
      <c r="C42" s="75"/>
      <c r="D42" s="75"/>
      <c r="E42" s="75"/>
      <c r="F42" s="75"/>
      <c r="G42" s="75"/>
      <c r="H42" s="75"/>
      <c r="I42" s="75"/>
      <c r="J42" s="75"/>
      <c r="K42" s="75"/>
      <c r="L42" s="75"/>
      <c r="M42" s="75"/>
      <c r="N42" s="75"/>
      <c r="O42" s="75"/>
      <c r="P42" s="75"/>
      <c r="Q42" s="75"/>
      <c r="R42" s="75"/>
    </row>
    <row r="43" spans="2:19">
      <c r="B43" s="75"/>
      <c r="C43" s="75"/>
      <c r="D43" s="75"/>
      <c r="E43" s="75"/>
      <c r="F43" s="75"/>
      <c r="G43" s="75"/>
      <c r="H43" s="75"/>
      <c r="I43" s="75"/>
      <c r="J43" s="75"/>
      <c r="K43" s="75"/>
      <c r="L43" s="75"/>
      <c r="M43" s="75"/>
      <c r="N43" s="75"/>
      <c r="O43" s="75"/>
      <c r="P43" s="75"/>
      <c r="Q43" s="75"/>
      <c r="R43" s="75"/>
    </row>
    <row r="44" spans="2:19"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</row>
    <row r="45" spans="2:19">
      <c r="B45" s="73"/>
      <c r="C45" s="73"/>
      <c r="D45" s="73"/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</row>
    <row r="46" spans="2:19">
      <c r="B46" s="73"/>
      <c r="C46" s="73"/>
      <c r="D46" s="73"/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</row>
    <row r="47" spans="2:19"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</row>
    <row r="48" spans="2:19">
      <c r="B48" s="73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</row>
    <row r="49" spans="2:18"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</row>
    <row r="50" spans="2:18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</row>
    <row r="51" spans="2:18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</row>
  </sheetData>
  <sheetProtection sheet="1" objects="1" scenarios="1"/>
  <mergeCells count="2">
    <mergeCell ref="B3:C3"/>
    <mergeCell ref="B2:C2"/>
  </mergeCells>
  <phoneticPr fontId="5"/>
  <printOptions horizontalCentered="1" verticalCentered="1"/>
  <pageMargins left="0.59055118110236227" right="0.59055118110236227" top="0.6692913385826772" bottom="0.6692913385826772" header="0.51181102362204722" footer="0.51181102362204722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26</vt:i4>
      </vt:variant>
    </vt:vector>
  </HeadingPairs>
  <TitlesOfParts>
    <vt:vector size="30" baseType="lpstr">
      <vt:lpstr>Start!</vt:lpstr>
      <vt:lpstr>名簿</vt:lpstr>
      <vt:lpstr>希望入力</vt:lpstr>
      <vt:lpstr>元_予定表</vt:lpstr>
      <vt:lpstr>FIRST</vt:lpstr>
      <vt:lpstr>LastRow</vt:lpstr>
      <vt:lpstr>NAMES</vt:lpstr>
      <vt:lpstr>希望入力!Print_Area</vt:lpstr>
      <vt:lpstr>元_予定表!Print_Area</vt:lpstr>
      <vt:lpstr>RowFail</vt:lpstr>
      <vt:lpstr>RowNow</vt:lpstr>
      <vt:lpstr>SEGMENT_N</vt:lpstr>
      <vt:lpstr>SEGMENT_P</vt:lpstr>
      <vt:lpstr>SEGMENT_S</vt:lpstr>
      <vt:lpstr>SEGMENTS</vt:lpstr>
      <vt:lpstr>コマ数</vt:lpstr>
      <vt:lpstr>開始時</vt:lpstr>
      <vt:lpstr>開始分</vt:lpstr>
      <vt:lpstr>協力度</vt:lpstr>
      <vt:lpstr>最終時</vt:lpstr>
      <vt:lpstr>最終分</vt:lpstr>
      <vt:lpstr>元_予定表!氏名</vt:lpstr>
      <vt:lpstr>氏名</vt:lpstr>
      <vt:lpstr>時間</vt:lpstr>
      <vt:lpstr>生徒数</vt:lpstr>
      <vt:lpstr>貼り付け</vt:lpstr>
      <vt:lpstr>日数</vt:lpstr>
      <vt:lpstr>表時間</vt:lpstr>
      <vt:lpstr>表日付</vt:lpstr>
      <vt:lpstr>表番号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保護者会調整</dc:title>
  <dc:subject>2015</dc:subject>
  <dc:creator>Yorono Sake</dc:creator>
  <cp:lastModifiedBy>Administrator</cp:lastModifiedBy>
  <cp:lastPrinted>2023-05-29T22:38:59Z</cp:lastPrinted>
  <dcterms:created xsi:type="dcterms:W3CDTF">2015-06-28T11:48:46Z</dcterms:created>
  <dcterms:modified xsi:type="dcterms:W3CDTF">2024-06-20T08:23:17Z</dcterms:modified>
</cp:coreProperties>
</file>